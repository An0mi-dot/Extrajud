
<file path=[Content_Types].xml><?xml version="1.0" encoding="utf-8"?>
<Types xmlns="http://schemas.openxmlformats.org/package/2006/content-types">
  <Default Extension="png" ContentType="image/png"/>
  <Default Extension="wdp" ContentType="image/wdp"/>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1840" windowHeight="13140" activeTab="1"/>
  </bookViews>
  <sheets>
    <sheet sheetId="6" name="Orientações" state="visible" r:id="rId4"/>
    <sheet sheetId="3" name="Pedido de Arquivamento" state="visible" r:id="rId5"/>
    <sheet sheetId="1" name="Tabela de Temporalidade" state="visible" r:id="rId6"/>
    <sheet sheetId="5" name="Base1" state="hidden" r:id="rId7"/>
    <sheet sheetId="8" name="Base2" state="hidden" r:id="rId8"/>
  </sheets>
  <definedNames>
    <definedName name="_xlnm._FilterDatabase">'Tabela de Temporalidade'!$A$4:$I$242</definedName>
    <definedName name="_xlnm.Print_Area" localSheetId="1">'Pedido de Arquivamento'!$A1:$I62</definedName>
  </definedNames>
  <calcPr calcId="171027"/>
</workbook>
</file>

<file path=xl/comments3.xml><?xml version="1.0" encoding="utf-8"?>
<comments xmlns="http://schemas.openxmlformats.org/spreadsheetml/2006/main">
  <authors>
    <author>Author</author>
  </authors>
  <commentList>
    <comment ref="H5" authorId="0">
      <text>
        <r>
          <rPr>
            <b/>
            <color indexed="81"/>
            <family val="2"/>
            <sz val="9"/>
            <rFont val="Segoe UI"/>
          </rPr>
          <t>Utilizar Tabela de Temporalidade</t>
        </r>
      </text>
    </comment>
    <comment ref="B6" authorId="0">
      <text>
        <r>
          <rPr>
            <b/>
            <color indexed="81"/>
            <family val="2"/>
            <sz val="9"/>
            <rFont val="Segoe UI"/>
          </rPr>
          <t>Preenchimento Manual: XX/XX/XXXX</t>
        </r>
      </text>
    </comment>
    <comment ref="C6" authorId="0">
      <text>
        <r>
          <rPr>
            <b/>
            <color indexed="81"/>
            <family val="2"/>
            <sz val="9"/>
            <rFont val="Segoe UI"/>
          </rPr>
          <t>Preenchimento selecionável</t>
        </r>
      </text>
    </comment>
    <comment ref="D6" authorId="0">
      <text>
        <r>
          <rPr>
            <b/>
            <color indexed="81"/>
            <family val="2"/>
            <sz val="9"/>
            <rFont val="Segoe UI"/>
          </rPr>
          <t>Informação preenchida pelo fornecedor</t>
        </r>
      </text>
    </comment>
    <comment ref="F6" authorId="0">
      <text>
        <r>
          <rPr>
            <b/>
            <color indexed="81"/>
            <family val="2"/>
            <sz val="9"/>
            <rFont val="Segoe UI"/>
          </rPr>
          <t>Informação preenchida pelo fornecedor</t>
        </r>
      </text>
    </comment>
    <comment ref="G6" authorId="0">
      <text>
        <r>
          <rPr>
            <b/>
            <color indexed="81"/>
            <family val="2"/>
            <sz val="9"/>
            <rFont val="Segoe UI"/>
          </rPr>
          <t>Preencher conforme descritivo do documento</t>
        </r>
      </text>
    </comment>
    <comment ref="H6" authorId="0">
      <text>
        <r>
          <rPr>
            <b/>
            <color indexed="81"/>
            <family val="2"/>
            <sz val="9"/>
            <rFont val="Segoe UI"/>
          </rPr>
          <t>Preenchimento Automático</t>
        </r>
      </text>
    </comment>
    <comment ref="I6" authorId="0">
      <text>
        <r>
          <rPr>
            <b/>
            <color indexed="81"/>
            <family val="2"/>
            <sz val="9"/>
            <rFont val="Segoe UI"/>
          </rPr>
          <t>Outros Períodos</t>
        </r>
      </text>
    </comment>
    <comment ref="A53" authorId="0">
      <text>
        <r>
          <rPr>
            <b/>
            <color indexed="81"/>
            <family val="2"/>
            <sz val="9"/>
            <rFont val="Segoe UI"/>
          </rPr>
          <t>Preencimento obrigatório pelo solicitante da NEOENERGIA</t>
        </r>
      </text>
    </comment>
  </commentList>
</comments>
</file>

<file path=xl/sharedStrings.xml><?xml version="1.0" encoding="utf-8"?>
<sst xmlns="http://schemas.openxmlformats.org/spreadsheetml/2006/main" count="3864" uniqueCount="942">
  <si>
    <t>PEDIDO DE ARQUIVAMENTO - PAQ                 (Arquivo Permanente)</t>
  </si>
  <si>
    <t>1. CONFIDENCIAL *:</t>
  </si>
  <si>
    <t>SIM</t>
  </si>
  <si>
    <t>Para uso do Fornecedor</t>
  </si>
  <si>
    <t xml:space="preserve">2. EMPRESA *: </t>
  </si>
  <si>
    <t>NEOENERGIA COELBA</t>
  </si>
  <si>
    <t>4. Nº OS</t>
  </si>
  <si>
    <t>5. ANO</t>
  </si>
  <si>
    <t xml:space="preserve">3. ÁREA *: </t>
  </si>
  <si>
    <t>DEP JURÍDICO COELBA</t>
  </si>
  <si>
    <t>6. ITEM</t>
  </si>
  <si>
    <t>DADOS DO DOCUMENTO</t>
  </si>
  <si>
    <t xml:space="preserve">PRAZO DE
GUARDA</t>
  </si>
  <si>
    <t>7. DATA *</t>
  </si>
  <si>
    <t>8. TIPOLOGIA *</t>
  </si>
  <si>
    <t>9. CAIXA 07 KG</t>
  </si>
  <si>
    <t>10. CAIXA 20 KG</t>
  </si>
  <si>
    <t>11. PALAVRA CHAVE *</t>
  </si>
  <si>
    <t>12. ANO</t>
  </si>
  <si>
    <t>13. OUTROS</t>
  </si>
  <si>
    <t>Dossiê do Empregado</t>
  </si>
  <si>
    <t>MP faturas abril/2010 1/2 1 Caixa</t>
  </si>
  <si>
    <t>MP faturas abril/2010 2/2 1 Caixa</t>
  </si>
  <si>
    <t>Furto de energia 1 Caixa</t>
  </si>
  <si>
    <t>Pensão Antônio Santos Silva 1 Caixa</t>
  </si>
  <si>
    <t>Cosip 1 Caixa</t>
  </si>
  <si>
    <t>Wilson Paes Cardoso 1 Caixa</t>
  </si>
  <si>
    <t>AUTOSICMS 1 Caixa</t>
  </si>
  <si>
    <t>Antônio Barbosa De Oliveira Sena, Antônio Santos Silva Processo 239/00 - Valença PAG. PENSÃO 1 Caixa</t>
  </si>
  <si>
    <t>Narandiba 1 Caixa</t>
  </si>
  <si>
    <t>Maria Lúcia Dos Santos Santana Santos, PENSÃO: Matilde, Vilma, Vilma, Valentina, Josemeire, Márcia Santos 1 Caixa</t>
  </si>
  <si>
    <t>Pensão zenaide f. Lemos 1 Caixa</t>
  </si>
  <si>
    <t>PENSÃO ZENAIDE F. LEMOS, PENSÃO GERALDO PEREIRA DE SÁ, PENSÃO ESPÓLIO DE SEVERINO ALMEIDA DE SOUZA, WANDERLEY FRANCO SAMPAIO E MARGARETH FRANCO DOS SANTOS PROCESSO NR 809385-0/2005 1 Caixa</t>
  </si>
  <si>
    <t>PENSÃO SALUSTIANO P. DA SILVA, PENSÃO JOSÉ ROBERTO DOS SANTOS, PENSÃO ADENORA ROCHA SANTOS, PENSÃO ROSELANDIA S. DE SOUZA, ACIDENTADO GERALDO PEREIRA DE SÁ, PENSÃO FRANCISCO OLIVEIRA SANTOS 1 Caixa</t>
  </si>
  <si>
    <t>RUTE LEAL 6ª VARA DA FAZENDA PÚBLICA-PROC. 1499994/88 INDENIZAÇÃO ATÉ O ANO 2018-1ª PASTA, SALUSTIANO PEREIRA SILVA, PENSÃO ALBERTO NERY LEMOS 1 Caixa</t>
  </si>
  <si>
    <t>ACP ILHÉUS AMBIENTAL, ANTÔNIO SANTOS SILVA PROCESSO NR 239/00 PENSÃO – 02 SALÁRIOS MÍNIMOS 2ª PASTA, JORNAIS 1 Caixa</t>
  </si>
  <si>
    <t>HISTÓRICO FAP, HISTÓRICO PAGAMENTO, PAGAMENTO SEGURO GARANTIA, TELMA PARANHOS 1 Caixa</t>
  </si>
  <si>
    <t>NOTIFICAÇÃO INQUÉRITO CIVIL 1 Caixa</t>
  </si>
  <si>
    <t>RECEITA FEDERAL ÁGIO 1 Caixa</t>
  </si>
  <si>
    <t>PENSÃO MARIA LÚCIA A. COSTA, PENSÃO RUTE LEAL, PENSÃO GERALDO RUFINO, PENSÃO VALBEQUE S. GRAMACHO 1 Caixa</t>
  </si>
  <si>
    <t>JAGUARIPE 1 Caixa</t>
  </si>
  <si>
    <t>JAGUARIPE, TV CIDADE 1 Caixa</t>
  </si>
  <si>
    <t>ARC 1 Caixa</t>
  </si>
  <si>
    <t>NARANDIBA 1 Caixa</t>
  </si>
  <si>
    <t>AGD Debêntures 14/08/2014</t>
  </si>
  <si>
    <t>Anexos de Atas</t>
  </si>
  <si>
    <t>ATAS DE ASSEMBLEIA</t>
  </si>
  <si>
    <t>ATAS RCA – Reunião Conselho Administração COELBA 2013 a 2017</t>
  </si>
  <si>
    <t>ATAS RCA – Reunião Conselho Administração COELBA 2018 A</t>
  </si>
  <si>
    <t>ATAS RD - REUNIÃO DIRETORIA EXECUTIVA COELBA JANEIRO 2018</t>
  </si>
  <si>
    <t>ATAS RD – Reunião Diretoria Executiva COELBA Junho 2005 a Dezembro 2017</t>
  </si>
  <si>
    <t>Atas das Assembleias Gerais Ordinárias e Extraordinárias COELBA – De 2005 a Registradas</t>
  </si>
  <si>
    <t>Atas de Assembleias Registradas JUCEB 1997 / 2004</t>
  </si>
  <si>
    <t>Atas de Reunião da Diretoria Executiva COELBA – 2004</t>
  </si>
  <si>
    <t>Atas de Reunião da Diretoria Executiva COELBA – 31 de Maio de 2005</t>
  </si>
  <si>
    <t>Atas de Reunião da Diretoria Executiva COELBA – Jan a Abr / 2005</t>
  </si>
  <si>
    <t>AUDITORIA VERENA CARNEIRO</t>
  </si>
  <si>
    <t>COELBA ATAS RCF 2013</t>
  </si>
  <si>
    <t>COELBA – Atas Assembleias Gerais Presenças e Acionistas – 2013 / 2014 / 2019</t>
  </si>
  <si>
    <t>DEMONSTRATIVOS CONTÁBEIS FRRI</t>
  </si>
  <si>
    <t>40</t>
  </si>
  <si>
    <t>Estatuto Social / Evolução</t>
  </si>
  <si>
    <t>41</t>
  </si>
  <si>
    <t>FAELBA</t>
  </si>
  <si>
    <t>42</t>
  </si>
  <si>
    <t>LEGISLAÇÃO FRRI</t>
  </si>
  <si>
    <t>43</t>
  </si>
  <si>
    <t>Maria Lúcia Dos Santos Santana e José Roberto Dos Santos - Processo NR 1190106-1/2006</t>
  </si>
  <si>
    <t>44</t>
  </si>
  <si>
    <t>PROCEDIMENTOS DA SECRETARIA EXECUTIVA</t>
  </si>
  <si>
    <t>45</t>
  </si>
  <si>
    <t>PUBLICAÇÕES</t>
  </si>
  <si>
    <t>PUBLICAÇÕES 2005</t>
  </si>
  <si>
    <t>Responsável Neoenergia</t>
  </si>
  <si>
    <t>PUBLICAÇÕES 2006</t>
  </si>
  <si>
    <t>PUBLICAÇÕES 2007</t>
  </si>
  <si>
    <t>RCA ATAS REGISTRADAS PELA JUCEB DE 1999 ATÉ 2015</t>
  </si>
  <si>
    <t>DATA</t>
  </si>
  <si>
    <t>RESPONSÁVEL (NOME COMPLETO E MATRÍCULA)</t>
  </si>
  <si>
    <t>Valbeque Santos / Zenaide Ferreira</t>
  </si>
  <si>
    <t>14. LOCALIZAÇÃO   ( Para uso do Fornecedor )</t>
  </si>
  <si>
    <t>PAVIMENTO</t>
  </si>
  <si>
    <t>SALA</t>
  </si>
  <si>
    <t>RUA</t>
  </si>
  <si>
    <t>ESTANTE</t>
  </si>
  <si>
    <t>PRATELEIRA</t>
  </si>
  <si>
    <t>TABELA DE TEMPORALIDADE</t>
  </si>
  <si>
    <t>PRAZO DE GUARDA</t>
  </si>
  <si>
    <t>CÓDIGO</t>
  </si>
  <si>
    <t>TIPOLOGIA/NOME</t>
  </si>
  <si>
    <t>CORRENTE</t>
  </si>
  <si>
    <t>INTERMEDIÁRIO</t>
  </si>
  <si>
    <t>FONTE ALIMENTADORA</t>
  </si>
  <si>
    <t>SUPORTE</t>
  </si>
  <si>
    <t>DESTINO</t>
  </si>
  <si>
    <t>ORGÃO DE ARQUIVAMENTO FINAL</t>
  </si>
  <si>
    <t>OBSERVAÇÕES</t>
  </si>
  <si>
    <t>Ação Trabalhista</t>
  </si>
  <si>
    <t>Até o encerramento na Justiça</t>
  </si>
  <si>
    <t>05 anos</t>
  </si>
  <si>
    <t>Neoenergia</t>
  </si>
  <si>
    <t>PAPEL</t>
  </si>
  <si>
    <t>DESCARTE</t>
  </si>
  <si>
    <t>---</t>
  </si>
  <si>
    <t xml:space="preserve">Qualquer pagamento feito ao reclamante é passível do recolhimento do IR e INSS.
É encaminhada cópia do documento que originou o pagamento para efetivação do recolhimento do IR e INSS.</t>
  </si>
  <si>
    <t>Análise de Fundo Rotativo</t>
  </si>
  <si>
    <t>06 anos</t>
  </si>
  <si>
    <t>Conjunto de documentos mensais referentes à análise da conta de Fundo Rotativo.</t>
  </si>
  <si>
    <t xml:space="preserve">Acordo Coletivo de Trabalho
ACT</t>
  </si>
  <si>
    <t>02 anos</t>
  </si>
  <si>
    <t>PAPEL + IMAGEM DIGITAL</t>
  </si>
  <si>
    <t>GUARDA PERMANENTE</t>
  </si>
  <si>
    <t>ARQUIVO PERMANENTE</t>
  </si>
  <si>
    <t>Apólice de Seguro</t>
  </si>
  <si>
    <t>Em vigor</t>
  </si>
  <si>
    <t>AR – Aviso de Recebimento</t>
  </si>
  <si>
    <t>Não se aplica</t>
  </si>
  <si>
    <t>Ref.: Prazo de Guarda: Art.133 da Resolução ANEEL de 2010</t>
  </si>
  <si>
    <t>Ata</t>
  </si>
  <si>
    <t>Atas da Assembleia Geral Ordinária e Extraordinária AGO/AGE dos Acionistas, de Reuniões do Conselho de Administração e do Conselho Fiscal e Atas de Reunião da Diretoria.</t>
  </si>
  <si>
    <t>Ata da Presidência</t>
  </si>
  <si>
    <t>ASO - Atestado de Saúde Ocupacional</t>
  </si>
  <si>
    <t>Empregado na Ativa</t>
  </si>
  <si>
    <t>20 anos</t>
  </si>
  <si>
    <t>Atestado de Saúde Ocupacional do Estagiário</t>
  </si>
  <si>
    <t>01 ano</t>
  </si>
  <si>
    <t>Ato</t>
  </si>
  <si>
    <t>Auto de Infração - Multa de Trânsito</t>
  </si>
  <si>
    <t xml:space="preserve">Após sinalização da área
</t>
  </si>
  <si>
    <t>O prazo de guarda se estenderá até a conclusão do processo. Deverá ser sinalizado à Serviços Gerais para eliminação do documento.</t>
  </si>
  <si>
    <t>Autorização de Saída de Material</t>
  </si>
  <si>
    <t>Referente a empréstimo</t>
  </si>
  <si>
    <t>Avaliação de Eficácia de Treinamento</t>
  </si>
  <si>
    <t xml:space="preserve">Formulário utilizado para organizar as avaliações de eficácia dos treinamentos realizados.
Ref.: Prazo de Guarda: GS02.02-00.005</t>
  </si>
  <si>
    <t>Avaliação de Reação</t>
  </si>
  <si>
    <t xml:space="preserve">Formulário utilizado para organizar as percepções dos treinandos e dos treinamentos.
Ref.: Prazo de Guarda: GS02.02-00.005</t>
  </si>
  <si>
    <t>Aviso aos Acionistas</t>
  </si>
  <si>
    <t>Publicado nos jornais de grande circulação convocando para reuniões do Conselho.</t>
  </si>
  <si>
    <t>Aviso de Crédito Referente a Recebimento de Parcela de Confissão de Dívida</t>
  </si>
  <si>
    <t>Até a quitação do débito</t>
  </si>
  <si>
    <t>10 anos</t>
  </si>
  <si>
    <t xml:space="preserve">Após a quitação conservar no órgão por 1 mês, antes de remeter para o Arquivo Permanente.
Fica anexo ao contrato de confissão de dívida.
05 anos após a última parcela do contrato da CD</t>
  </si>
  <si>
    <t>Balanço Diário de Caixa</t>
  </si>
  <si>
    <t xml:space="preserve">Documento não mais emitido em papel. As informações atualmente são armazenadas em meio eletrônico.
Ref.: Prazo de Guarda: Especialista da área</t>
  </si>
  <si>
    <t>Balancete (Livro Contábil)</t>
  </si>
  <si>
    <t>12 meses</t>
  </si>
  <si>
    <t>12 anos</t>
  </si>
  <si>
    <t xml:space="preserve">Existe no sistema eletrônico antigo e a partir de 1995 está arquivado no sistema GL. A partir de 1996 passou a ser gravado em CD.  A partir de janeiro de 2002 será transferido para o SAP. Existe no órgão PCES em CD.
Antes do recurso da informática existia em papel, arquivado no AP.</t>
  </si>
  <si>
    <t>Cadastro de Fornecedor</t>
  </si>
  <si>
    <t>Até o encerramento do vínculo com o fornecedor</t>
  </si>
  <si>
    <t xml:space="preserve">A atualização dos itens na pasta é feita a cada alteração de algum documento. Os dados do fornecedor são atualizados através do Sistema SAP.
Ref.: Prazo de Guarda:05 anos. Resolução n° 14, de 24 de Outubro de 2001/CONARQ e
ampliado para 06 anos pelo especialista da área de suprimento</t>
  </si>
  <si>
    <t xml:space="preserve">Carta de Encaminhamento do Empregado à Fundação </t>
  </si>
  <si>
    <t xml:space="preserve">Período do empregado na ativa.
Permanecer no órgão RDRS por 5 anos após o desligamento do empregado</t>
  </si>
  <si>
    <t>Referente à inscrição no Plano de Benefícios de Previdência Privada. Faz parte do dossiê do empregado.</t>
  </si>
  <si>
    <t xml:space="preserve">Canhoto (Carta sobre energia
Reativa)</t>
  </si>
  <si>
    <t>Canhoto referente ao Formulário de Carta sobre Energia Reativa</t>
  </si>
  <si>
    <t>Cartão de Ponto/Folha de Frequência (empregados da Capital e do Interior)</t>
  </si>
  <si>
    <t>Faz parte do dossiê do empregado.</t>
  </si>
  <si>
    <t>Cartão de Ponto/Folha de Frequência (estagiários da Capital e do Interior)</t>
  </si>
  <si>
    <t>Até 2 anos após o termino do estágio</t>
  </si>
  <si>
    <t xml:space="preserve">CAT
Comunicação de Acidente de Trabalho</t>
  </si>
  <si>
    <t>10 anos em Saúde e Segurança após a ocorrência do acidente</t>
  </si>
  <si>
    <t>A DRT – Delegacia Regional do Trabalho recomenda que a CAT seja arquivada em pasta própria.</t>
  </si>
  <si>
    <t>Certidão de Casamento</t>
  </si>
  <si>
    <t>Período do empregado na ativa Permanecer no órgão GRTB por 5 anos após o desligamento do empregado</t>
  </si>
  <si>
    <t>Faz parte do dossiê do empregado</t>
  </si>
  <si>
    <t>Certidão de Nascimento do Filho</t>
  </si>
  <si>
    <t>Comprovante de Despesas</t>
  </si>
  <si>
    <t xml:space="preserve">Comprovantes de despesas do evento SENDI/2008.
Ref.: Prazo de Guarda – Especialista da área</t>
  </si>
  <si>
    <t>Comunicação de Férias</t>
  </si>
  <si>
    <t>Contas Telefônicas</t>
  </si>
  <si>
    <t>Até a conferência</t>
  </si>
  <si>
    <t>Contratos</t>
  </si>
  <si>
    <t>Até o encerramento</t>
  </si>
  <si>
    <t xml:space="preserve">Tipos de contratos: Prestação de Serviços (inclusive advocacia).
As cópias podem ficar nos órgãos interessados enquanto vigorar o contrato .</t>
  </si>
  <si>
    <t>Contrato Agentes Arrecadadores</t>
  </si>
  <si>
    <t xml:space="preserve">Depende do prazo de vencimento do contrato.
Prazo venc mais 05 anos</t>
  </si>
  <si>
    <t>Contrato Bancário (Arrecadação)</t>
  </si>
  <si>
    <t>Contrato de Compra e Venda de Imóvel</t>
  </si>
  <si>
    <t xml:space="preserve">Contrato de Confissões de Dívida
(Dívida do Débito)</t>
  </si>
  <si>
    <t xml:space="preserve">Após a quitação conservar no órgão por 1 ano antes de remeter para o ARQUIVO PERMANENTE.
Prazo vencimento da ultima parcela mais anos</t>
  </si>
  <si>
    <t>Contrato de Eletrificação Rural</t>
  </si>
  <si>
    <t>Até o encerramento do contrato</t>
  </si>
  <si>
    <t>Ref.: Prazo de Guarda Especialista da área</t>
  </si>
  <si>
    <t>Contrato de Empréstimo e Financiamento</t>
  </si>
  <si>
    <t xml:space="preserve">Ref.: Prazo de Guarda
5 anos - Art.206, §5°, I do CC/02 Aumento do prazo de guarda por especialista da área  com referencia no
art.205 do mesmo Diploma Legal.</t>
  </si>
  <si>
    <t>Contrato de Fornecimento</t>
  </si>
  <si>
    <t>Até a aprovação do pedido de compra</t>
  </si>
  <si>
    <t xml:space="preserve">Ref.: Prazo de Guarda
Novo Código Civil e Gestor da Área Responsável</t>
  </si>
  <si>
    <t>Contrato de Fornecimento de Energia Elétrica em Alta Tensão</t>
  </si>
  <si>
    <t xml:space="preserve">Documentação referente a formalização do fornecimento de energia elétrica em alta tensão.
Ref.: Prazo de Guarda – Prazo definido pelos especialistas da área.</t>
  </si>
  <si>
    <t>Contrato para Fornecimento de Energia Elétrica de Tarifa Binômia</t>
  </si>
  <si>
    <t xml:space="preserve">Atualmente o documento é emitido eletronicamente, sendo a última remessa recolhida ao Arquivo em junho de 2007 e preservada até 12/2013.
Ref.: Prazo de Guarda:
Código Civil de 2002, Lei 10406 de 2002, Código Civil de 1916, Lei 3071 de 1916 e Resolução ANEEL 456/2000.</t>
  </si>
  <si>
    <t>Contrato de Locação</t>
  </si>
  <si>
    <t>O original do contrato fica Na área responsável até a vigência. Os originais do recibo, nota fiscal e cópia do contrato anexado ao compromisso, vão para o Sistema de Contas a Pagar (ARQUIVO PERMANENTE)</t>
  </si>
  <si>
    <t xml:space="preserve">Contrato de Prestação de Serviços ou Obras
Carta Convite
Seleção de proposta
Concorrência Pública</t>
  </si>
  <si>
    <t>A partir da data do Termo de Encerramento e Quitação</t>
  </si>
  <si>
    <t xml:space="preserve">De 1999 até 17 de Fevereiro de 2000 o documento chamava-se Carta Convite, Tomada de Preço ou Concorrência Pública. A partir de março de 2000 até Dezembro de 2001- Seleção de Proposta. Em 2002 após a privatização, passou a ser Contrato. Em junho de 2006 ficou definida a nomenclatura para Contrato de Prestação de Serviços ou Obras. Esses documentos fazem parte do processo licitatório
Ref.: Prazo de Guarda
Novo Código Civil e analista de suprimento</t>
  </si>
  <si>
    <t>Contrato de Trabalho</t>
  </si>
  <si>
    <t>Período do empregado na ativa</t>
  </si>
  <si>
    <t>Controle de Licença Maternidade</t>
  </si>
  <si>
    <t xml:space="preserve">Período do empregado na ativa
Permanecer na área reponsável por 5 anos após o desligamento do empregado</t>
  </si>
  <si>
    <t xml:space="preserve">Faz parte do dossiê do empregado.
O órgão GSSO encaminha para o órgão GRTB via sistema SGP.
Original da licença é arquivado na ficha médica.</t>
  </si>
  <si>
    <t>Controle de Licença Médica (após 15 dias)</t>
  </si>
  <si>
    <t xml:space="preserve">Faz parte do dossiê do empregado.
O órgão GSSO encaminha para o órgão RACB via sistema SGP.
Original da licença é arquivado na ficha médica.</t>
  </si>
  <si>
    <t>Controle de Licença Médica (até 15 dias)</t>
  </si>
  <si>
    <t>Controle de Presença - Próprios</t>
  </si>
  <si>
    <t>SGP</t>
  </si>
  <si>
    <t xml:space="preserve">Formulário utilizado para controle de
presença de funcionários em treinamento.</t>
  </si>
  <si>
    <t>Controle de Presença - Terceiros</t>
  </si>
  <si>
    <t>Formulário utilizado para controle de presença em treinamento de terceiros. Ref.: Prazo de Guarda: GS02.02-00.005</t>
  </si>
  <si>
    <t xml:space="preserve">COP
Comunicação de Pessoal</t>
  </si>
  <si>
    <t xml:space="preserve">Refere-se a recrutamento de pessoal interno, salário-educação, contribuição sindical etc. Descartar a cópia da COP, após 2 anos, no órgão emissor.
Preservar permanentemente o original no dossiê de pessoal.</t>
  </si>
  <si>
    <t>Controle de Selos - CS</t>
  </si>
  <si>
    <t>Formulário preenchido pelas EPS’s quando não forem constatadas perdas de energia ou no momento da instalação de medidores para medição.</t>
  </si>
  <si>
    <t>Correspondência (memorando; carta, ofício, circular, fax; e- mail)</t>
  </si>
  <si>
    <t xml:space="preserve">A correspondência expedida pela Neoenergia, de natureza histórica deve ser preservada em caráter permanente.
A temporalidade da correspondência recebida/expedida obedece ao prazo definido para o dossiê/processo do qual faz parte. Descartar no órgão de origem.</t>
  </si>
  <si>
    <t>Credenciamento de Insalubridade</t>
  </si>
  <si>
    <t xml:space="preserve">Faz parte do dossiê do empregado.
O órgão de lotação apenas indica que o empregado está em área de insalubridade</t>
  </si>
  <si>
    <t>Credenciamento de Periculosidade</t>
  </si>
  <si>
    <t xml:space="preserve">CREM
Comunicação de Resultado de Exame Médico</t>
  </si>
  <si>
    <t xml:space="preserve">Relativo ao retorno do empregado a Empresa, após 15 dias de afastamento por licença médica.
A via do Órgão GSSO fica arquivada na ficha médica.
Faz parte do dossiê do empregado.</t>
  </si>
  <si>
    <t xml:space="preserve">CRLV
Certificado de Registro e Licenciamento de Veículos</t>
  </si>
  <si>
    <t>Até o leilão do veículo</t>
  </si>
  <si>
    <t>Relativo aos documentos dos veículos, de responsabilidade da área de FROTA (Serviços Gerais)</t>
  </si>
  <si>
    <t>Curriculum Vitae do Estagiário</t>
  </si>
  <si>
    <t>Anexo à inscrição para estágio.</t>
  </si>
  <si>
    <t xml:space="preserve">CVM
Comissão de Valores Mobiliários</t>
  </si>
  <si>
    <t>Fato relevante publicado nos jornais de grande circulação, como por ex: Emissões de ações</t>
  </si>
  <si>
    <t xml:space="preserve">DCTF
Declaração de Contribuições e Tributos Federais</t>
  </si>
  <si>
    <t>O órgão PCT envia este demonstrativo para a Receita Federal do Brasil – RFB - via Internet e guarda cópia digital e impressa em seu arquivo. Após 6 anos da data de envio para a RFB os arquivos impressos são enviados para o AP.</t>
  </si>
  <si>
    <t>Declaração de Encargos de Família para fins de Imposto de Renda</t>
  </si>
  <si>
    <t>Declaração de Opção para FGTS</t>
  </si>
  <si>
    <t>Demonstrativo de Contas a Receber</t>
  </si>
  <si>
    <t>Ref. Prazo de guarda: Especialista da área</t>
  </si>
  <si>
    <t>Demonstrativo de Fornecimento não Faturado</t>
  </si>
  <si>
    <t>Demonstrativo Contabilização da Arrecadação</t>
  </si>
  <si>
    <t>Demonstrativo de Provisão para Devedores Duvidosos – PDD</t>
  </si>
  <si>
    <t>Demonstrativo do ICMS Faturado por Município</t>
  </si>
  <si>
    <t>Descredenciamento de Periculosidade</t>
  </si>
  <si>
    <t>Determinação</t>
  </si>
  <si>
    <t>Relativo a normas e regulamentação de Procedimentos.                      Conservar permanentemente,     mesmo     quando ocorrerem alterações.</t>
  </si>
  <si>
    <t>Desligamentos e Manobras</t>
  </si>
  <si>
    <t>06 meses</t>
  </si>
  <si>
    <t xml:space="preserve">DIPJ
Declaração do Imposto de Renda de Pessoa Jurídica</t>
  </si>
  <si>
    <t>O órgão responsável envia este demonstrativo para a Receita Federal do Brasil – RFB - via Internet e guarda cópia digital e impressa em seu arquivo. Após 6 anos da data de envio para a RFB os arquivos impressos são enviados para o ARQUIVO PERMANENTE.</t>
  </si>
  <si>
    <t>DOCUMENTO DE PAGAMENTO</t>
  </si>
  <si>
    <t>2 anos</t>
  </si>
  <si>
    <t xml:space="preserve">ABRACONEE -
Associação Brasileira dos Contadores do Setor de Energia Elétrica</t>
  </si>
  <si>
    <t xml:space="preserve">ANO/Nº Documento SAP
Pagamento efetuado através de boleto</t>
  </si>
  <si>
    <t>Auto de Infração- multa de Trânsito</t>
  </si>
  <si>
    <t>Documento classificado anteriormente como Compromisso 001.</t>
  </si>
  <si>
    <t>Aviso de Débito/Restituições</t>
  </si>
  <si>
    <t>Documento classificado anteriormente como Compromissos: 001, CPQ, DES e FRO. Original anexo à Restituição de Pagamento em Duplicidade. A cópia pode ser arquivada no FCOF, por 6 meses p/atender ao cliente. As cópias podem permanecer no arquivo corrente do órgão interessado por 2 anos.</t>
  </si>
  <si>
    <t>Bombeiro (TAXA)</t>
  </si>
  <si>
    <t>Documento classificado anteriormente como Compromisso  001</t>
  </si>
  <si>
    <t xml:space="preserve">CCC
Cota de Consumo de Combustível</t>
  </si>
  <si>
    <t xml:space="preserve">Documento classificado anteriormente como Compromisso 001 (tributos e contribuições).
Contribuição do setor elétrico para as empresas que fornecem energia a óleo diesel. O repasse é via Eletrobrás.</t>
  </si>
  <si>
    <t>COFINS</t>
  </si>
  <si>
    <t xml:space="preserve">Documento classificado anteriormente como Compromisso 001 (tributos e contribuições).
Em caso de ação judicial conservar na fase intermediária por 20 anos
Este documento é acompanhado do Anexo: DARF-Documento de Arrecadação de Receitas Federais.</t>
  </si>
  <si>
    <t>Contribuição Sindical</t>
  </si>
  <si>
    <t>Documento classificado anteriormente como Compromisso 001 (tributos e contribuições).</t>
  </si>
  <si>
    <t>Contribuição Social</t>
  </si>
  <si>
    <t xml:space="preserve">Documento classificado anteriormente como Compromisso 001 (tributos e contribuições).
Este documento é acompanhado do Anexo: DARF- Documento de Arrecadação de Receitas Federais</t>
  </si>
  <si>
    <t>CVM - Comissão de Valores Mobiliários</t>
  </si>
  <si>
    <t xml:space="preserve">Documento classificado anteriormente como Compromisso 001.
Taxa referente às ações da Neoenergia aplicadas na Bolsa de Valores.</t>
  </si>
  <si>
    <t>ELETROBRÁS</t>
  </si>
  <si>
    <t xml:space="preserve">Documento classificado anteriormente como Compromisso 001 (tributos e contribuições).
Pagamento dos encargos (juros/multas) sobre o empréstimo solicitado pela Neoenergia.</t>
  </si>
  <si>
    <t>FGTS</t>
  </si>
  <si>
    <t>38 anos</t>
  </si>
  <si>
    <t>Documento classificado anteriormente como Compromisso 001 (tributos e contribuições). Este documento é acompanhado do Anexo: GFIP- Guia de Recolhimento do FGTS e Informações à Previdência Social (acompanha o disquete com os dados dos empregados para a CEF). O original fica no compromisso e a cópia vai para a Caixa Econômica Federal- CEF.</t>
  </si>
  <si>
    <t>Fatura Mensal de Água e Esgoto</t>
  </si>
  <si>
    <t>15 anos</t>
  </si>
  <si>
    <t xml:space="preserve">Fatura referente aos imóveis da Neoenergia - Capital e Interior.
Ref.: Prazo de Guarda: Especialista da área</t>
  </si>
  <si>
    <t>Fiscalização ANEEL</t>
  </si>
  <si>
    <t>Folha de Conselheiros</t>
  </si>
  <si>
    <t xml:space="preserve">Documento classificado anteriormente como Compromisso 001 (tributos e contribuições).
Pagamento a conselheiros.</t>
  </si>
  <si>
    <t>Fundo Nacional de Desenvolvimento Científico e Tecnológico</t>
  </si>
  <si>
    <t>ICMS</t>
  </si>
  <si>
    <t xml:space="preserve">ANO/Nº Documento SAP
Pagamento efetuado através de DAE – Documento de Arrecadação Estadual</t>
  </si>
  <si>
    <t>INSS</t>
  </si>
  <si>
    <t xml:space="preserve">ANO/Nº Documento SAP
Pagamento efetuado através de GRPS – Guia de Recolhimento a Previdência Social</t>
  </si>
  <si>
    <t>IPTU</t>
  </si>
  <si>
    <t xml:space="preserve">Documento classificado anteriormente como Compromisso 001 (tributos e contribuições).
Em caso de ação judicial conservar por 20 anos.</t>
  </si>
  <si>
    <t>IRPJ</t>
  </si>
  <si>
    <t xml:space="preserve">ANO/Nº Documento SAP
Pagamento efetuado através de DARF – Documento de Arrecadação de Receitas Federais</t>
  </si>
  <si>
    <t>IRRF</t>
  </si>
  <si>
    <t>ISS</t>
  </si>
  <si>
    <t xml:space="preserve">ANO/Nº Documento SAP
Pagamento efetuado através de DAM – Documento de Arrecadação Municipal.</t>
  </si>
  <si>
    <t>Movimento de Caixa (Query’s)</t>
  </si>
  <si>
    <t>Ref.: Prazo de Guarda: especialista da área</t>
  </si>
  <si>
    <t>Nota Fiscal</t>
  </si>
  <si>
    <t>Documento classificado anteriormente como Compromissos: 001, CPQ, DES e FRO. Referente a pagamento da Neoenergia a terceiros pela prestação de serviço ou pela compra de mercadoria. O órgão responsável pela contratação do serviço envia para o FFTE.</t>
  </si>
  <si>
    <t>PIS/PASEP</t>
  </si>
  <si>
    <t>Recibo</t>
  </si>
  <si>
    <t xml:space="preserve">ANO/Nº Documento SAP
Referente a pagamento da Neoenergia a terceiros pela prestação de serviço. Se o pagamento for efetuado com depósito em conta a fonte alimentadora será o PCT, caso contrário, a fonte alimentadora será a FFTE.</t>
  </si>
  <si>
    <t>REFIS - Programa de Recuperação Fiscal</t>
  </si>
  <si>
    <t xml:space="preserve">Documento classificado anteriormente como Compromisso 001 (tributos e contribuições).
Sistema eletrônico criado pela Receita
Federal para parcelamento de débito. Existe também em papel.</t>
  </si>
  <si>
    <t>Relatório de Análises Contábeis</t>
  </si>
  <si>
    <t>02 meses</t>
  </si>
  <si>
    <t>PCES</t>
  </si>
  <si>
    <t xml:space="preserve">Os relatórios são digitalizados, armazenados em CD e enviado a unidade PCES, ficando arquivados no AP os documentos em papel.
Ref. Prazo de Guarda: Especialista da área</t>
  </si>
  <si>
    <t>Relatório de Comprovação de Despesa</t>
  </si>
  <si>
    <t>Até o pagamento</t>
  </si>
  <si>
    <t>Documento classificado anteriormente como Compromissos: 001, CPQ, DES e FRO. Quando não contém nota. As cópias podem permanecer no arquivo corrente do órgão interessado por 2 anos.</t>
  </si>
  <si>
    <t xml:space="preserve">Restituição de Pagamento em Duplicidade
Recibo Contas Pagas em Duplicidade</t>
  </si>
  <si>
    <t>Documento classificado anteriormente como Compromissos: 001, CPQ, DES e FRO. A cópia pode permanecer no FCOF, por 6 meses, para atender ao cliente. Relativo ao valor da Conta de Energia</t>
  </si>
  <si>
    <t>RGR - Reserva Global de Reversão</t>
  </si>
  <si>
    <t>Salário - Educação</t>
  </si>
  <si>
    <t xml:space="preserve">Documento classificado anteriormente como Compromisso 001 (tributos e contribuições).
Conservar por 10 anos após a suspensão do benefício. Em seguida descartar.</t>
  </si>
  <si>
    <t xml:space="preserve">SENAI
Serviço Nacional de Aprendizagem Industrial</t>
  </si>
  <si>
    <t xml:space="preserve">Documento classificado anteriormente como Compromisso 001 (tributos e contribuições).
Convênio Neo Pe/Senai para treinamento.
Contribuição mensal</t>
  </si>
  <si>
    <t>SESI</t>
  </si>
  <si>
    <t>Até  a conferência</t>
  </si>
  <si>
    <t xml:space="preserve">Documento classificado anteriormente como Compromisso 001 (tributos e contribuições).
Convênio Neo Pe/Sesi para treinamento. Contribuição mensal</t>
  </si>
  <si>
    <t>Dossiê de Documentação Trabalhista</t>
  </si>
  <si>
    <t>09 anos</t>
  </si>
  <si>
    <t xml:space="preserve">Conjunto de documentos provenientes das empresas prestadoras de serviços a disposição dos órgãos fiscalizadores para acompanhamento mensal durante a vigência dos contratos visando à redução de futuras ações trabalhistas.
Ref.: Prazo de Guarda – Lei 8.212 de 24/08/1991 e especialista da área.</t>
  </si>
  <si>
    <t>Dossiê de Desvinculação do Bem</t>
  </si>
  <si>
    <t>Documentação constitutiva do dossiê: Justificativa de desvinculação, ato da diretoria aprovando a desvinculação; cópia da escritura ou do registro do imóvel, planta ou mapa de localização do imóvel, laudo de avaliação, demonstrativo contábil, cópia de ODD e ODA (cópia de ordem em curso)</t>
  </si>
  <si>
    <t>Dossiê de Venda de Imóveis</t>
  </si>
  <si>
    <t xml:space="preserve">Conjunto de documentos (certidão, laudo de avaliação, recibo, etc.) referentes à venda de imóveis da Neoenergia.
Ref.: Prazo de Guarda: Especialista da área.</t>
  </si>
  <si>
    <t xml:space="preserve">Os documentos constitutivos do dossiê do empregado na ativa devem ser arquivados no GRTB
Os órgãos emissores destes documentos apenas devem conservá- los (cópia) no Arquivo Corrente, durante 2 anos ou enquanto estiverem em vigor
ou o tempo em  que for necessário para consulta e/ou comprovação.</t>
  </si>
  <si>
    <t>Dossiê do ex- empregado</t>
  </si>
  <si>
    <t>05 anos após desligamento</t>
  </si>
  <si>
    <t xml:space="preserve">Os dossiês dos ex-empregados devem ser transferidos, pelo órgão, para o Arquivo Permanente após 5 anos do
seu desligamento.</t>
  </si>
  <si>
    <t>Dossiê SOX</t>
  </si>
  <si>
    <t xml:space="preserve">Conjunto de documentos referentes às evidências das auditorias realizadas sejam de walktrought e teste dos diversos ciclos da Neoenergia
Ref.: Prazo de Guarda – Lei Sarbanes- oxley, assinada em 30 de julho de 2002.</t>
  </si>
  <si>
    <t>DS - Declaração de Serviços</t>
  </si>
  <si>
    <t xml:space="preserve">Inclui os pagamentos efetuados relativos ao ISS.
Importa os dados do Sistema de Contas a Pagar (Arquivo Permanente), insere dados de notas fiscais e em seguida grava em disquete. O órgão PCPT fica com o disquete, enviando os dados para a Prefeitura via Internet. O recibo comprobatório da remessa é gravado no disquete.
As Declarações de Serviços são impressas e organizadas em livro e segue para o Arquivo Permanente após 2 anos.</t>
  </si>
  <si>
    <t>DSS 8030 SB40</t>
  </si>
  <si>
    <t>Relativo à Comprovação de Tempo Especial de Serviço para o INSS. Faz parte do dossiê do empregado</t>
  </si>
  <si>
    <t>Empréstimo Compulsório</t>
  </si>
  <si>
    <t>Até quitação da dívida</t>
  </si>
  <si>
    <t>Repasse pela Neoenergia de pagamento da Eletrobrás de juros do empréstimo compulsório aos pontos comerciais. Processo de pagamento. O órgão é responsável pelo descarte. Não existe em formato eletrônico.</t>
  </si>
  <si>
    <t>Escritura de Compra de Bens Imóveis</t>
  </si>
  <si>
    <t>Permanece no Arquivo Permanente até o momento de alienação do bem, quando o dossiê é entregue ao comprador.</t>
  </si>
  <si>
    <t>Escritura de Imóvel</t>
  </si>
  <si>
    <t xml:space="preserve">REF.: Prazo de guarda
TTD-ANEEL, TTD-CONARQ e especialista da área.</t>
  </si>
  <si>
    <t>Estatuto Social da Neoenergia</t>
  </si>
  <si>
    <t>Exclusão de Imóveis Demolidos (Processo)</t>
  </si>
  <si>
    <t>A cópia que fica no Processo Comercial, por 2 anos, deve ser descartada.</t>
  </si>
  <si>
    <t xml:space="preserve">Extrato Bancário
Conta Corrente Bancária
Conta Bancária</t>
  </si>
  <si>
    <t>Até a aprovação do balanço</t>
  </si>
  <si>
    <t>Extrato das Atas</t>
  </si>
  <si>
    <t>Referente a atas que envolvem acionistas. Informa à CVM as decisões tomadas.</t>
  </si>
  <si>
    <t>Extrato do FGTS</t>
  </si>
  <si>
    <t>Permanecer no órgão GRTB por 5 anos após o desligamento do empregado</t>
  </si>
  <si>
    <t>Faz parte do dossiê do empregado. Para base de cálculo das multas quando da rescisão contratual pelo PDV</t>
  </si>
  <si>
    <t>Ficha Visita Atualização Cadastral</t>
  </si>
  <si>
    <t xml:space="preserve">Ref.: Prazo de Guarda – Resolução 414/2010 da Aneel.
Ficha para atualização do cadastro do cliente no sistema comercial.</t>
  </si>
  <si>
    <t>Ficha Campanha Clarear</t>
  </si>
  <si>
    <t>03 meses</t>
  </si>
  <si>
    <t>Fichas recepcionadas para serem analisadas se atendem aos requisitos cadastrais.</t>
  </si>
  <si>
    <t>Ficha Médica Dossiê Médico Licença Médica Parecer Médico</t>
  </si>
  <si>
    <t>Consta: Ficha de exame (atendimento) médico, parecer do médico especialista, resultado de exames, receituário médico, atestado de saúde ocupacional, atestado médico, ficha de evolução de ocorrência, exames complementares, avaliação da visão, resultado do exame médico de acidentado do trabalho, relatório ou declaração médica, documentação do INSS (conclusão de perícia médica, comunicação de resultado do exame médico, extrato da CP/CTPS, protocolo de benefícios, laudo de exame médico pericial, requerimento de benefício por incapacidade), benefício-auxílio doença Neoenergia, licença médica, licença maternidade (cópia). Documentos sigilosos. Uso restrito da área responsável.</t>
  </si>
  <si>
    <t>Folha de informação e Despacho</t>
  </si>
  <si>
    <t xml:space="preserve">Permanece anexa ao documento que originou a sua emissão. A sua temporalidade vai depender do prazo
definido para o documento.</t>
  </si>
  <si>
    <t>Folha de Pagamento dos Empregados</t>
  </si>
  <si>
    <t>03 anos</t>
  </si>
  <si>
    <t>Folhas encadernadas em forma de livro, por mês, com backup em disco arquivado no CPD.</t>
  </si>
  <si>
    <t>Folha de Pagamento dos Estagiários</t>
  </si>
  <si>
    <t>Até a duração do estágio</t>
  </si>
  <si>
    <t>Formulário de Auto Declaração de Cliente de Baixa Renda</t>
  </si>
  <si>
    <t>01 mês</t>
  </si>
  <si>
    <t xml:space="preserve">Formulário utilizado pelo Departamento de Atendimento a Clientes (Agências e Neoenrgia Serviço) e Unidade de Eficiência Energética (Agente Neoenergia), definindo critérios pelas Leis e Resoluções, permitindo famílias de baixa renda a isenção na Tarifa da Energia Elétrica. Desconto que poderá chegar a 65% do valor da tarifa. Ref.:    Prazo    de    Guarda    –    Código Tributário Nacional Artigos 173 e 174 DECRETO  Nº  30.404,  DE  07  DE  MAIO DE 2007 Lei Federal 10.438/2002 Lei Federal 12.212/2010 Resolução 246/2002
Resolução 485/2002</t>
  </si>
  <si>
    <t>Formulário de Empregado em Regime de Sobreaviso</t>
  </si>
  <si>
    <t>Formulário de Ligação Nova</t>
  </si>
  <si>
    <t>Até a Conferência</t>
  </si>
  <si>
    <t>Ref.: Prazo de Guarda – Resolução ANEEL 414/2010</t>
  </si>
  <si>
    <t>Formulário de Reconhecimento de Isenção do ICMS para Produtor Rural</t>
  </si>
  <si>
    <t xml:space="preserve">Formulário para requerimento pelo produtor rural a Neoenergia da isenção do ICMS na fatura de energia elétrica nos termos da legislação e da regulamentação vigente.
Ref.: Prazo de Guarda – Portaria SF-PE nº 264 de 24/09/99 alínea “e” e a 283 de 11/10/99.</t>
  </si>
  <si>
    <t>Formulário de Solicitação de Baixa de Contrato</t>
  </si>
  <si>
    <t>Ref.: Prazo de Guarda – Resolução 414/2010 da Aneel.</t>
  </si>
  <si>
    <t>Formulário para Concessão do Benefício da Tarifa Social de Energia Elétrica</t>
  </si>
  <si>
    <t>Ref.: Prazo de Guarda: CTN/Arts.173 e 174; Decreto 30.404/2007; Lei Federal- 10438/2002;Lei Federal-12212/2010; Resolução 414/2012; Resolução 485/2002.</t>
  </si>
  <si>
    <t>GIAM - Guia de Informação e Apuração do ICMS</t>
  </si>
  <si>
    <t>Recomenda-se a guarda por 20 anos considerando-se a possibilidade de ação judicial. Alimenta o Programa GIAM da Secretaria da Fazenda, a partir de 1999. Atualmente o envio para o AP é em CD. Anteriormente existia somente em papel. É gravada em disquete, obedecendo a mesma temporalidade de guarda. Tem relação com o imposto constante do Compromisso 001.</t>
  </si>
  <si>
    <t>Guia de Reclassificação (Funcional)</t>
  </si>
  <si>
    <t>Guia de Recolhimento Rescisório do FGTS (Multa indenizatória)</t>
  </si>
  <si>
    <t>Permanecer no órgão RACB por 5 anos após o desligamento do empregado</t>
  </si>
  <si>
    <t>Histórico Escolar do Estagiário</t>
  </si>
  <si>
    <t>Histórico de Relacionamento com Poderes Públicos</t>
  </si>
  <si>
    <t>50 anos</t>
  </si>
  <si>
    <t xml:space="preserve">Ref.: Prazo de Guarda
Código Civil, Direito Público e Resolução ANEEL 456.</t>
  </si>
  <si>
    <t xml:space="preserve">Inscrição para Estágio
(Formulário de inscrição)</t>
  </si>
  <si>
    <t>Inspeção de Segurança</t>
  </si>
  <si>
    <t>Instruções Normativas</t>
  </si>
  <si>
    <t xml:space="preserve">Inventário de Materiais
Relatório de Inventário de Materiais</t>
  </si>
  <si>
    <t>Inventário de Provisões Mensais (relatório-resumo)</t>
  </si>
  <si>
    <t>Relatório Resumo relativo a Informações de Provisões de Férias (13º Salário, Encargos Sociais) para compatibilização com os relatórios individuais.</t>
  </si>
  <si>
    <t>LALUR - Livro de Apuração do Lucro Real</t>
  </si>
  <si>
    <t>Laudo de Avaliação (dos bens )</t>
  </si>
  <si>
    <t>Faz parte do Dossiê de Desvinculação do Bem.</t>
  </si>
  <si>
    <t>Laudo de Avaliação Imobiliária</t>
  </si>
  <si>
    <t>Laudo Pericial</t>
  </si>
  <si>
    <t>Período do empregado na ativa. Permanecer no órgão por 5 anos após o desligamento do empregado.</t>
  </si>
  <si>
    <t>Laudo Técnico de Condições Ambientais de Trabalho Individual</t>
  </si>
  <si>
    <t>Licenças Ambientais</t>
  </si>
  <si>
    <t>Licença Maternidade</t>
  </si>
  <si>
    <t xml:space="preserve">Período do empregado na ativa.
Permanecer no órgão por 5 anos após o desligamento do empregado.</t>
  </si>
  <si>
    <t>O órgão encaminha o original para o órgão GRTB para registro no Sistema RH. Conservar uma via na ficha médica. Faz parte do dossiê do empregado.</t>
  </si>
  <si>
    <t>Livro de FGTS</t>
  </si>
  <si>
    <t>Acompanhado de GFIP e dos dados sobre os empregados contidos no disquete enviado para a CEF</t>
  </si>
  <si>
    <t>Livro de Inventário do Estoque Físico (Patrimonial)</t>
  </si>
  <si>
    <t>Livro de Termo de Ocorrência</t>
  </si>
  <si>
    <t>Livro onde o fiscal registra as ocorrências</t>
  </si>
  <si>
    <t>Livro Diário (Livro Contábil) Diário Geral Livro Diário Auxiliar de Obrigações</t>
  </si>
  <si>
    <t xml:space="preserve">Existe no sistema eletrônico antigo e a partir de 1995 está arquivado no sistema GL. A partir de 1996 passou a ser gravado em CD.  Existe em microfilme no PCES, quando o uso deste suporte foi permitido pela Secretaria da Fazenda.
Antes do recurso da informática existe em papel, no Arquivo Permanente.</t>
  </si>
  <si>
    <t>Livro Razão Livro Contábil Livro Sub-razão Ativo e Passivo Razão de Detalhes</t>
  </si>
  <si>
    <t xml:space="preserve">Existe no sistema eletrônico antigo e a partir de 1995 está arquivado no sistema GL. A partir de 1996 passou a ser gravado em CD.  Desde janeiro de 2002 foi transferido para o SAP.
Antes do recurso da Informática existe em papel no Arquivo Permanente.</t>
  </si>
  <si>
    <t>Lotes Contábeis Eventos</t>
  </si>
  <si>
    <t>Corresponde a lançamentos contábeis.</t>
  </si>
  <si>
    <t>Manual de Organização</t>
  </si>
  <si>
    <t xml:space="preserve">Nota de Débito
Notificação de Lançamento de Débito</t>
  </si>
  <si>
    <t>07 anos</t>
  </si>
  <si>
    <t>Após a quitação conservar no órgão por 1 mês, antes de remeter para o ARQUIVO PERMANENTE.</t>
  </si>
  <si>
    <t>Nota de Serviço (NS)</t>
  </si>
  <si>
    <t>04 anos</t>
  </si>
  <si>
    <t>Ref.: Prazo de Guarda: Resolução Aneel 414/2010</t>
  </si>
  <si>
    <t>Nota de Serviço da Cobrança/Notas de acompanhamento</t>
  </si>
  <si>
    <t xml:space="preserve">Ref.: Prazo de Guarda: Resolução Aneel 414/2010.
Notas de acompanhamento de serviço enviadas semanalmente para o ARQUIVO PERMANENTE</t>
  </si>
  <si>
    <t>Nota de Serviço da Cobrança/Notas de Baixas</t>
  </si>
  <si>
    <t xml:space="preserve">Ref.: Prazo de Guarda: Resolução Aneel 414/2010.
Notas de serviço de baixa enviadas semanalmente para o ARQUIVO PERMANENTE</t>
  </si>
  <si>
    <t>Nota de Serviço da Cobrança/Notas de Religação</t>
  </si>
  <si>
    <t xml:space="preserve">Ref.: Prazo de Guarda: Resolução Aneel 414/2010.
Notas de serviço de religação enviadas semanalmente para o ARQUIVO PERMANENTE</t>
  </si>
  <si>
    <t>Nota de Serviço da Cobrança/Notas de Suspensão</t>
  </si>
  <si>
    <t xml:space="preserve">Ref.: Prazo de Guarda: Resolução Aneel 414/2010.
Notas de serviço de suspensão enviadas semanalmente para o ARQUIVO PERMANENTE</t>
  </si>
  <si>
    <t>Nota Fiscal de Devolução</t>
  </si>
  <si>
    <t>O talonário deve ser enviado para o ARQUIVO PERMANENTE pelo Almoxarifado.</t>
  </si>
  <si>
    <t>Nota Fiscal de Entrada de Mercadoria (doação)</t>
  </si>
  <si>
    <t>Nota Fiscal de Fornecimento e Acompanhamento de Material (NFAM)</t>
  </si>
  <si>
    <t>Ref.: Prazo de Guarda: Especialista da área</t>
  </si>
  <si>
    <t>Nota Fiscal de Serviço</t>
  </si>
  <si>
    <t>Relativa ao atendimento à Neoenergia de serviços solicitados.</t>
  </si>
  <si>
    <t>Nota Fiscal de Simples Remessa</t>
  </si>
  <si>
    <t>Nota Fiscal de Transferência entre Empresas</t>
  </si>
  <si>
    <t>Nota Fiscal de Venda do Imobilizado</t>
  </si>
  <si>
    <t xml:space="preserve">A 3ª via do talonário destinada à Contabilidade é enviada para o órgão reponsável para recolhimento do imposto.
O talonário deve ser enviado para o ARQUIVO PERMANENTE pelo Almoxarifado.</t>
  </si>
  <si>
    <t>Nota fiscal de Venda do Veículo</t>
  </si>
  <si>
    <t>Período de uso do talão</t>
  </si>
  <si>
    <t>Nota fiscal de Transferência de Materiais</t>
  </si>
  <si>
    <t>Nota fiscal de Transação de almoxarifado</t>
  </si>
  <si>
    <t>Opção Definitiva de Clube de investimento</t>
  </si>
  <si>
    <t xml:space="preserve">Formulário que especifica e formaliza a opção de Clube de Investimento no processo de desestatização da Neoenergia. O prazo de guarda foi determinado em 2008 e deverá ser revisado em 2013.
Ref.: Prazo de Guarda – especialista da área</t>
  </si>
  <si>
    <t>Orçamento da Neoenergia</t>
  </si>
  <si>
    <t>Ordem em Curso</t>
  </si>
  <si>
    <t xml:space="preserve">OC-Ordem em Curso- refere-se a todo o processo de apuração, controle e registro de gastos vinculados a cada tipo de atividade (imobilização, cobrança de postes, condutores, construção de subestação, linhas de transmissão etc. (ODA,ODI,ODD,ODS etc.):
ODI-Ordem de Imobilização do Bem- refere-se à apuração de todos os gastos relativos ã imobilização do bem;
ODD-Ordem de Desativação do Bem (retirada do transformador de uma subestação);
ODS-Ordem de Prestação de Serviços.</t>
  </si>
  <si>
    <t>Parecer Jurídico (interno e externo)</t>
  </si>
  <si>
    <t>Parecer Técnico (interno e externo)</t>
  </si>
  <si>
    <t xml:space="preserve">PDV (Carta de Adesão ou Documento de Indicação ao PDV, e-mail, memorando)
Plano de Demissão Voluntária</t>
  </si>
  <si>
    <t xml:space="preserve">O arquivamento no  ARQUIVO CORRENTE é feito como carta PDV organizado por empregado.
É considerado documento confidencial no caso de indicação de empregado para demissão. Neste caso é armazenado em arquivo confidencial no ARQUIVO CORRENTE, assumindo o nome de documento PDV.</t>
  </si>
  <si>
    <t>Pedido de Compra de material</t>
  </si>
  <si>
    <t>Gerado a partir do Contrato de Fornecimento.</t>
  </si>
  <si>
    <t>Pedido de Cotação de Materiais</t>
  </si>
  <si>
    <t xml:space="preserve">Ref.: Prazo de Guarda
Novo Código Civil e Gestor da PRCM</t>
  </si>
  <si>
    <t>Pedido de Cotação de Preço</t>
  </si>
  <si>
    <t>Pedido de Material de Expediente</t>
  </si>
  <si>
    <t>Ano em curso</t>
  </si>
  <si>
    <t>Nome anterior do órgão: DEP.</t>
  </si>
  <si>
    <t>Pedido de Reserva de Ações</t>
  </si>
  <si>
    <t xml:space="preserve">Formulário que formaliza o pedido de reserva de ações de empregados e aposentados no Clube de Investimento durante o processo de desestatização da Neoenergia. O prazo de guarda foi determinado em 2008 e deverá ser revisado em 2013.
Ref.: Prazo de Guarda – especialista da área</t>
  </si>
  <si>
    <t>Plano de Parcelamento</t>
  </si>
  <si>
    <t>Ref.: Prazo de Guarda – especialista da área</t>
  </si>
  <si>
    <t>Processo Administrativo</t>
  </si>
  <si>
    <t>Art.1º-c na Lei nº9.494/97 regulamentado Art.145 da Resolução 414/2010</t>
  </si>
  <si>
    <t>Processo Judicial Cível (Indenização)</t>
  </si>
  <si>
    <t>Processo Trabalhista</t>
  </si>
  <si>
    <t>Processo Tributário</t>
  </si>
  <si>
    <t>Processo referente a tributos e contribuições.</t>
  </si>
  <si>
    <t>Procuração Particular</t>
  </si>
  <si>
    <t>Programa de Manobra</t>
  </si>
  <si>
    <t>Projeto de Eletrificação Rural</t>
  </si>
  <si>
    <t xml:space="preserve">Projeto de
Compartilhamento de Postes</t>
  </si>
  <si>
    <t>Resolução Aneel/Anatel/INP – 001/1999</t>
  </si>
  <si>
    <t>Prospecto Sintético para Oferta aos Empregados</t>
  </si>
  <si>
    <t xml:space="preserve">Documento informativo sobre a compra de ações no processo de desestatização. O prazo de guarda foi determinado em 2008 e deverá ser revisado em 2013.
Ref.: Prazo de Guarda – Especialista da Área</t>
  </si>
  <si>
    <t>Protocolo de Correio Interno</t>
  </si>
  <si>
    <t>Descartar no órgão de origem</t>
  </si>
  <si>
    <t>Protocolo de Seguro Desemprego</t>
  </si>
  <si>
    <t>Permanecer no órgão por 5 anos após o desligamento do empregado</t>
  </si>
  <si>
    <t xml:space="preserve">Comunicação de Dispensa-CD (nome oficial do Ministério do Trabalho). Faz parte do dossiê do empregado
Comprova a entrega das duas vias do requerimento do Seguro de Desemprego.</t>
  </si>
  <si>
    <t>Recibo de Transferência do Veículo</t>
  </si>
  <si>
    <t>Até a venda</t>
  </si>
  <si>
    <t xml:space="preserve">No caso de venda, este documento acompanha o veículo.
Permanecer, quando necessário, no ARQUIVO CORRENTE com  cópia xerox para informar ao DETRAN que o veículo foi vendido e deve ser registrado no nome do novo proprietário e posteriormente anexado ao processo de baixa patrimonial e permanece no ARQUIVO CORRENTE.</t>
  </si>
  <si>
    <t>Registro (Cadastro) de Empregados (Ativos e Desligados)</t>
  </si>
  <si>
    <t>Até meados de junho de 1993 esses documentos foram microfilmados.</t>
  </si>
  <si>
    <t>Registro de Óbito</t>
  </si>
  <si>
    <t>Permanecer no órgão por 5 anos após o óbito do empregado</t>
  </si>
  <si>
    <t>Relatório Analítico de Cálculo</t>
  </si>
  <si>
    <t xml:space="preserve">Faz parte do dossiê do empregado
Referente à rescisão de contrato normal-folha de pagamento</t>
  </si>
  <si>
    <t xml:space="preserve">Relatório Anual
(de Atividades da Neoenergia)</t>
  </si>
  <si>
    <t>Quanto aos relatórios gerenciais (Diretoria/Departamentos e outros órgãos) fica a critério de cada gestor o seu arquivamento permanente  ou não, na sua unidade. Não devem ser remetidos ao Arquivo Permanente-AP.</t>
  </si>
  <si>
    <t>Relatório Baixa Manual de Fatura de Energia Elétrica</t>
  </si>
  <si>
    <t xml:space="preserve">Relatório emitido através do SIC e digitalizado. Enviado fisicamente ao AP até 2007.
Ref.: Prazo de guarda: Especialista da área</t>
  </si>
  <si>
    <t>Relatório Banco ITAÚ</t>
  </si>
  <si>
    <t>-----</t>
  </si>
  <si>
    <t>Relatório relativo  à posição acionária.</t>
  </si>
  <si>
    <t>Relatório BOVESPA</t>
  </si>
  <si>
    <t>Bolsa de Valores de São Paulo</t>
  </si>
  <si>
    <t xml:space="preserve">Relatório CBLC Comissão Brasileira
de Liquidação e Custódia</t>
  </si>
  <si>
    <t>Relativo à posição de títulos custodiados.</t>
  </si>
  <si>
    <t>Relatório de Atividades</t>
  </si>
  <si>
    <t xml:space="preserve">Relatório de Baixa de Contas
GBD</t>
  </si>
  <si>
    <t>A baixa no sistema GDB corresponde à baixa manual – DLO (feita através do uso da caneta ótica no sistema GDB). O relatório em papel, gerado pelo sistema GDB, é acompanhado do Ticket = a baixa da conta.</t>
  </si>
  <si>
    <t>Relatório de Cartas de Cobrança Bancárias</t>
  </si>
  <si>
    <t xml:space="preserve">Os documentos são enviados anualmente ao ARQUIVO PERMANENTE
Ref.: Prazo de Guarda: Especialista da área</t>
  </si>
  <si>
    <t>Relatório de Depósitos Bancários</t>
  </si>
  <si>
    <t xml:space="preserve">Os documentos são enviados anualmente ao ARQUIVO PERMANENTE
Ref.: Prazo de Guarda: especialista da área</t>
  </si>
  <si>
    <t>Relatório de Duração e Frequência Equivalente de Interrupção por Unidades Consumidoras - DEC-FEC</t>
  </si>
  <si>
    <t xml:space="preserve">Os documentos não são mais emitidos em papel, apenas em meio eletrônico e armazenados na própria unidade.
Ref.: Prazo de guarda
Resolução ANEEL/N°24 de 27 de janeiro de 2000.
Os documentos em papel enviados anteriormente ao ARQUIVO PERMANENTE serão descartados conforme prazo de guarda especificado nessa tabela</t>
  </si>
  <si>
    <t>Relatório de Atributos de Unidades Consumidoras (Conjunto)</t>
  </si>
  <si>
    <t>Relatório Diário de Ocorrência (Síntese)</t>
  </si>
  <si>
    <t>Relatório por Dispositivo</t>
  </si>
  <si>
    <t xml:space="preserve">Relatório de Baixa Especial de Contas
BEC</t>
  </si>
  <si>
    <t>Até julgamento das contas</t>
  </si>
  <si>
    <t>Corresponde às contas de confissões de dívida, acerto de renda.</t>
  </si>
  <si>
    <t>Relatório de depósito bancário</t>
  </si>
  <si>
    <t xml:space="preserve">Documentos enviados anualmente ao ARQUIVO PERMANENTE
Ref.: Prazo de Guarda: Especialista da área</t>
  </si>
  <si>
    <t>Relatório de Entrega de Ticket Refeição</t>
  </si>
  <si>
    <t xml:space="preserve">Senha de refeição usada anteriormente para os locais com restaurante (Sede e Bongi). Pode ser descartada independente de data, por estar em desuso
Constitui comprovante da entrega mensal do talão.</t>
  </si>
  <si>
    <t>Relatório de Ensaios e Inspeção de Medidor de Energia</t>
  </si>
  <si>
    <t xml:space="preserve">Documento emitido no ato da aferição do medidor em laboratório, para avaliar as possíveis irregularidades.
Ref.: Prazo de Guarda: Art. 129 e 163 da Resolução 414/2010.</t>
  </si>
  <si>
    <t>Relatório de Exclusão de Imóveis Demolidos (Processo)</t>
  </si>
  <si>
    <t xml:space="preserve">A cópia que fica no FAAR  por 2 anos, deve ser descartada.
O relatório (original) é encaminhado ao órgão Processo Comercial, anexo ao dossiê.</t>
  </si>
  <si>
    <t xml:space="preserve">Relatório de Exclusão do Débito Automático
DAC</t>
  </si>
  <si>
    <t>Relatório de Resumo das Rendas</t>
  </si>
  <si>
    <t>Ate julgamento das contas</t>
  </si>
  <si>
    <t xml:space="preserve">Relatório do ICMS por Município
Ver ROM</t>
  </si>
  <si>
    <t>Requerimento (interno e externo)</t>
  </si>
  <si>
    <t>Até a solução da questão</t>
  </si>
  <si>
    <t>O original contendo a tramitação deve ser arquivado no dossiê do empregado.</t>
  </si>
  <si>
    <t>Requisição de Passagem</t>
  </si>
  <si>
    <t>Requisição de Pessoal - REP</t>
  </si>
  <si>
    <t xml:space="preserve">Formulário de solicitação de nova vaga ou substituição.
Ref.: Prazo de Guarda: Norma de Recrutamento e Seleção.</t>
  </si>
  <si>
    <t xml:space="preserve">Requisição de Solicitação de Serviços
PCSO
Pedido de Contratação de Serviços e Obras</t>
  </si>
  <si>
    <t>Constitui documento gerador do contrato e é acompanhado de especificações técnicas e memorando. Faz parte do dossiê do contrato. As cópias devem ser descartadas, no órg origem, após a na vigência do contrato.</t>
  </si>
  <si>
    <t>Resolução</t>
  </si>
  <si>
    <t xml:space="preserve">RO
Aviso de Suspensão
Carta de Advertência
Comunicação de Pessoal
Relatório de Ocorrência</t>
  </si>
  <si>
    <t>Descartar a cópia do Relatório de Ocorrência-RO, no órgão emissor, após 2 anos. Relativo a: suspensão, advertência, abono de ponto, transferência do empregado, elogio, punição, apuração e concessão ou outra comunicação sobre o empregado. Faz parte do dossiê do empregado</t>
  </si>
  <si>
    <t>ROM</t>
  </si>
  <si>
    <t>Recomenda-se a guarda por 20 anos considerando-se a possibilidade de ação judicial. Alimenta o Programa ROM da Secretaria da Fazenda, a partir de 1999.Atualmente o envio para o ARQUIVO PERMANENTE é em CD.Anteriormente existia somente em papel. É gravado em disquete e obedece a mesma temporalidade para a guarda. Tem relação com o imposto constante  do Compromisso 001.</t>
  </si>
  <si>
    <t>Salário-Educação</t>
  </si>
  <si>
    <t xml:space="preserve">Gerado a partir da declaração da escola onde o filho do funcionário estuda e do comprovante do pagamento respectivo.
O salário-educação é lançado no sistema RH-CONSIST.</t>
  </si>
  <si>
    <t xml:space="preserve">Seleção de Proposta
Ver Contrato de Prestação de Serviços ou Obras</t>
  </si>
  <si>
    <t>Até a aprovação de contas pelo Tribunal de Contas</t>
  </si>
  <si>
    <t>Anterior: até 1999 Carta-Convite incluindo Tomada de Preço e Concorrência Pública (Processo Licitatório);A partir de maio de 2000 até dez de 2001 Seleção de Proposta.Em 2002 até 2005 passou a ser chamada Contrato, e em 2006 ficou denominada Contrato de Prestação de Serviço.</t>
  </si>
  <si>
    <t xml:space="preserve">Serviço Social da Indústria
Ver SESI</t>
  </si>
  <si>
    <t>Verificar</t>
  </si>
  <si>
    <t>Solicitação de Emprego</t>
  </si>
  <si>
    <t>Esta solicitação só tem validade com a assinatura do Diretor/Presidente. O formulário só deve ser preenchido mediante a existência de vaga. Faz parte do dossiê do empregado.</t>
  </si>
  <si>
    <t>Solicitação de Treinamento</t>
  </si>
  <si>
    <t xml:space="preserve">Ao término do treinamento, as informações do formulário são inseridas
no SAP-TREINAMENTO</t>
  </si>
  <si>
    <t>Solicitação de Troca de Titularidade do Contrato de Fornecimento de Energia Elétrica</t>
  </si>
  <si>
    <t>04 meses</t>
  </si>
  <si>
    <t xml:space="preserve">Ref.: Prazo de Guarda: Norma: SM01. 04-00.001 e o
Procedimento SM01. 04-00.003</t>
  </si>
  <si>
    <t>Termo de Compromisso de Estágio</t>
  </si>
  <si>
    <t>Termos de Ocorrência e Inspeção - TOI</t>
  </si>
  <si>
    <t>Termo de Posse</t>
  </si>
  <si>
    <t>Faturamento de Aluguel de Poste</t>
  </si>
  <si>
    <t>DACON Demonstrativo de Apuração das Contribuições Sociais</t>
  </si>
  <si>
    <t>O órgão PCT envia este demonstrativo para a Receita Federal do Brasil – RFB - via Internet e guarda cópia digital e impressa em seu arquivo. Após 6 anos da data de envio para a RFB os arquivos impressos são enviados para o ARQUIVO PERMANENTE.</t>
  </si>
  <si>
    <t>EFD Contribuições Escrituração Fiscal Digital - Contribuições</t>
  </si>
  <si>
    <t>SEF Sistema de Escrituração Fiscal</t>
  </si>
  <si>
    <t>O órgão envia este demonstrativo para a Receita Federal do Brasil – RFB - via Internet e guarda cópia digital e impressa em seu arquivo. Após 6 anos da data de envio para a RFB os arquivos impressos são enviados para o ARQUIVO PERMANENTE.</t>
  </si>
  <si>
    <t>EMPRESA NEOENERGIA</t>
  </si>
  <si>
    <t>ÁREA</t>
  </si>
  <si>
    <t>PONTO FOCAL</t>
  </si>
  <si>
    <t>NEOENERGIA PERNAMBUCO</t>
  </si>
  <si>
    <t>DEP ARRECADAÇÃO DISTRIBUIÇÃO</t>
  </si>
  <si>
    <t>DEP ATENDIMENTO AO CLIENTE DISTRIBUIÇÃO</t>
  </si>
  <si>
    <t>NEOENERGIA COSERN</t>
  </si>
  <si>
    <t>DEP ATENDIMENTO CELPE</t>
  </si>
  <si>
    <t>NEOENERGIA RENOVÁVEIS</t>
  </si>
  <si>
    <t>DEP AUDITORIA INTERNA CORP</t>
  </si>
  <si>
    <t>ITAPEBI</t>
  </si>
  <si>
    <t>DEP AUDITORIA INTERNA DIST</t>
  </si>
  <si>
    <t>TERMOPERNAMBUCO</t>
  </si>
  <si>
    <t>DEP CADASTRO E FATURAMENTO DISTRIBUIÇÃO</t>
  </si>
  <si>
    <t>NC ENERGIA</t>
  </si>
  <si>
    <t>DEP COMPRA ENER CONTRA MUST DISTRIBUIÇÃO</t>
  </si>
  <si>
    <t>NEOENERGIA BRASÍLIA</t>
  </si>
  <si>
    <t>DEP CONSTRUÇÃO LD DISTRIBUIÇÃO</t>
  </si>
  <si>
    <t>NEOENERGIA S.A.</t>
  </si>
  <si>
    <t>DEP CONSTRUÇÃO SE DISTRIBUIÇÃO</t>
  </si>
  <si>
    <t>NEOENERGIA ELEKTRO</t>
  </si>
  <si>
    <t>DEP CONTABILIDADE DISTRIBUIÇÃO NORDESTE</t>
  </si>
  <si>
    <t>ELEKTRO RENOVÁVEIS</t>
  </si>
  <si>
    <t>DEP CONTROLE CELPE</t>
  </si>
  <si>
    <t>ENERBRASIL</t>
  </si>
  <si>
    <t>DEP CONTROLES INTERNOS FINANCEIROS</t>
  </si>
  <si>
    <t>DEP CONTROLES INTERNOS NÃO FINANCEIROS</t>
  </si>
  <si>
    <t>DEP CORP ADM DE PESSOAL</t>
  </si>
  <si>
    <t>NÃO</t>
  </si>
  <si>
    <t>DEP CORP ANÁLISE DE RESULTADOS E INVEST</t>
  </si>
  <si>
    <t>DEP CORP ATUARIAL</t>
  </si>
  <si>
    <t>DEP CORP BASE DE ATIVOS</t>
  </si>
  <si>
    <t>DEP CORP COMPRA ÁGIL E IMPORTAÇÃO</t>
  </si>
  <si>
    <t>DEP CORP COMUNICAÇÃO INTERNA E CULTURA</t>
  </si>
  <si>
    <t>DEP CORP CONFORMIDADE REGULATÓRIA</t>
  </si>
  <si>
    <t>DEP CORP CONSOLIDAÇÃO EM EUROS</t>
  </si>
  <si>
    <t>DEP CORP CONSOLIDAÇÃO EM REAIS</t>
  </si>
  <si>
    <t>DEP CORP CONTAS A PAGAR</t>
  </si>
  <si>
    <t>DEP CORP CONTROLE ATIVOS DISTRIBUIÇÃO</t>
  </si>
  <si>
    <t>DEP CORP CORPORAÇÃO ÚNICA</t>
  </si>
  <si>
    <t>DEP CORP DE APLICAÇÕES DE TI</t>
  </si>
  <si>
    <t>DEP CORP DE GESTÃO DE CAPITAL</t>
  </si>
  <si>
    <t>DEP CORP DE P&amp;D</t>
  </si>
  <si>
    <t>DEP CORP DE PLANEJAMENTO FINANCEIRO</t>
  </si>
  <si>
    <t>DEP CORP DE PLANEJAMENTO TRIBUTÁRIO</t>
  </si>
  <si>
    <t>DEP CORP DE RELACIONAMENTO BANCÁRIO</t>
  </si>
  <si>
    <t>DEP CORP DE RELACIONAMENTO DE MERCADO</t>
  </si>
  <si>
    <t>DEP CORP DE RISCOS</t>
  </si>
  <si>
    <t>DEP CORP DERIV ATIVOS PROJ ESTRUTURADOS</t>
  </si>
  <si>
    <t>DEP CORP DESEMPENHO E INDICADORES</t>
  </si>
  <si>
    <t>DEP CORP EQUIPAMENTOS E MATERIAIS</t>
  </si>
  <si>
    <t>DEP CORP ESG RESPONSABILIDADE SOC CORP</t>
  </si>
  <si>
    <t>DEP CORP FINAN TESOUR BACK OFFICE</t>
  </si>
  <si>
    <t>DEP CORP FINAN TESOUR MIDDLE OFFICE</t>
  </si>
  <si>
    <t>DEP CORP GOVERNANÇA DE SERV GERAIS</t>
  </si>
  <si>
    <t>DEP CORP GOVERNANÇA E SEG DA INFORMAÇÃO</t>
  </si>
  <si>
    <t>DEP CORP IMÓVEIS E PATRIMÔNIO</t>
  </si>
  <si>
    <t>DEP CORP INFRAESTRUTURA E SUPORTE</t>
  </si>
  <si>
    <t>DEP CORP INOVAÇÃO E QUALIDADE</t>
  </si>
  <si>
    <t>DEP CORP JURÍDICO FINANÇAS E RECURSOS</t>
  </si>
  <si>
    <t>DEP CORP OPERAÇÃO E MANUT CONSTRUÇÃO</t>
  </si>
  <si>
    <t>DEP CORP PAGAMENTO E ATEND A FORNECEDOR</t>
  </si>
  <si>
    <t>DEP CORP PLANEJAMENTO RH E SIG</t>
  </si>
  <si>
    <t>DEP CORP PLATAFORMA SAP</t>
  </si>
  <si>
    <t>DEP CORP PRÁTICAS CONTÁBEIS</t>
  </si>
  <si>
    <t>DEP CORP PROJETOS DE RH</t>
  </si>
  <si>
    <t>DEP CORP RECRUTAMENTO E SELEÇÃO</t>
  </si>
  <si>
    <t>DEP CORP REGULAÇÃO ESTRATÉGICA</t>
  </si>
  <si>
    <t>DEP CORP REMUNERAÇÃO E BENEFÍCIOS</t>
  </si>
  <si>
    <t>DEP CORP SAÚDE E SEGURANÇA</t>
  </si>
  <si>
    <t>DEP CORP SEGURANÇA DIGITAL</t>
  </si>
  <si>
    <t>DEP CORP SERVIÇOS CORPORATIVOS</t>
  </si>
  <si>
    <t>DEP CORP SUSTENTAB E MUD CLIMÁTICA</t>
  </si>
  <si>
    <t>DEP CORP TI/TELECOM E RH</t>
  </si>
  <si>
    <t>DEP CORP TREINAMENTO</t>
  </si>
  <si>
    <t>DEP CORP TRIBUTOS FEDERAL REDES</t>
  </si>
  <si>
    <t>DEP DE COMPLIANCE DISTRIBUIÇÃO</t>
  </si>
  <si>
    <t>DEP DE LEITURA DISTRIBUIÇÃO</t>
  </si>
  <si>
    <t>DEP DESEMPENHO DA OPERAÇÃO CELPE</t>
  </si>
  <si>
    <t>DEP EFICIÊNCIA ENERGÉTICA DISTRIBUIÇÃO</t>
  </si>
  <si>
    <t>DEP ESTRATÉGIA E SERV DIGIT DISTRIBUIÇÃO</t>
  </si>
  <si>
    <t>DEP FUNDIÁRIO TRANSMISSÃO</t>
  </si>
  <si>
    <t>DEP GESTÃO BASE DE DADOS DA DISTRIBUIÇÃO</t>
  </si>
  <si>
    <t>DEP GESTÃO DA RECEITA CELPE</t>
  </si>
  <si>
    <t>DEP GESTÃO DO NEGÓCIO DISTRIBUIÇÃO</t>
  </si>
  <si>
    <t>DEP GESTÃO TÉCNICA DE ATIVOS E EPS DISTR</t>
  </si>
  <si>
    <t>DEP GRANDES CLIENTES CELPE</t>
  </si>
  <si>
    <t>DEP JURÍDICO CELPE</t>
  </si>
  <si>
    <t>DEP LOGÍSTICA DISTRIBUIÇÃO</t>
  </si>
  <si>
    <t>DEP MANUTENÇÃO DA SUBTRANSMISSÃO CELPE</t>
  </si>
  <si>
    <t>DEP MEIO AMBIENTE TRANSMISSÃO</t>
  </si>
  <si>
    <t>DEP OPERAÇÃO CENTRO CELPE</t>
  </si>
  <si>
    <t>DEP OPERAÇÃO CENTRO OESTE CELPE</t>
  </si>
  <si>
    <t>DEP OPERAÇÃO DO SISTEMA ELÉTRICO CELPE</t>
  </si>
  <si>
    <t>DEP OPERAÇÃO METROPOLITANO CELPE</t>
  </si>
  <si>
    <t>DEP OPERAÇÃO NORTE CELPE</t>
  </si>
  <si>
    <t>DEP OPERAÇÃO OESTE CELPE</t>
  </si>
  <si>
    <t>DEP OPERAÇÃO SUL CELPE</t>
  </si>
  <si>
    <t>DEP PADRONIZ IMPLEMENT SMART GRIDS DISTR</t>
  </si>
  <si>
    <t>DEP PLANEJ SISTEMA ELÉTRICO DISTRIBUIÇÃO</t>
  </si>
  <si>
    <t>DEP PLANEJAMENTO DE MERCADO DISTRIBUIÇÃO</t>
  </si>
  <si>
    <t>DEP PROCESSO DE REDES CELPE</t>
  </si>
  <si>
    <t>DEP PROCESSOS E SISTEMAS TÉCNICOS DISTR</t>
  </si>
  <si>
    <t>DEP PROGRAMAÇÃO DE SERVIÇOS CELPE</t>
  </si>
  <si>
    <t>DEP PROJ ÁGEIS GESTÃO DE MUDANÇA DISTR</t>
  </si>
  <si>
    <t>DEP PROJ ESTRATÉGICOS TECNOLOGIA DISTR</t>
  </si>
  <si>
    <t>DEP PROJETOS ESTRATÉGICOS DISTRIBUIÇÃO</t>
  </si>
  <si>
    <t>DEP RECUPERAÇÃO DE CRÉDITO DISTRIBUIÇÃO</t>
  </si>
  <si>
    <t>DEP RECURSOS HUMANOS CELPE</t>
  </si>
  <si>
    <t>DEP REDES DISTRIBUIÇÃO</t>
  </si>
  <si>
    <t>DEP REGULAÇÃO ECONÔMICA E FINANC CELPE</t>
  </si>
  <si>
    <t>DEP REGULAÇÃO TÉCNICA COMERCIAL CELPE</t>
  </si>
  <si>
    <t>DEP RELAÇÕES COM MÍDIA CLIENTE</t>
  </si>
  <si>
    <t>DEP RELAÇÕES COM MÍDIA CORPORATIVO</t>
  </si>
  <si>
    <t>DEP RELAÇÕES INSTITUCIONAIS DISTRIBUIÇÃO</t>
  </si>
  <si>
    <t>DEP SATISFAÇÃO CLIENTE DISTRIBUIÇÃO</t>
  </si>
  <si>
    <t>DEP SAÚDE E SEGURANÇA CELPE</t>
  </si>
  <si>
    <t>DEP SERVIÇOS TÉCNICOS DISTRIBUIÇÃO</t>
  </si>
  <si>
    <t>DEP SMART METERING DISTRIBUIÇÃO</t>
  </si>
  <si>
    <t>DEP SUBESTAÇÕES DISTRIBUIÇÃO</t>
  </si>
  <si>
    <t>DEP SUSTENTABILIDADE DISTRIBUIÇÃO</t>
  </si>
  <si>
    <t>DEP TECNOL CIÊNCIA DE DADOS DISTRIBUIÇÃO</t>
  </si>
  <si>
    <t>DEP TECNOLOGIA OPERATIVA DISTRIBUIÇÃO</t>
  </si>
  <si>
    <t>DEP UNITIZAÇÃO E GESTÃO EPS CELPE</t>
  </si>
  <si>
    <t>DIRET ADJ DE RECURSOS HUMANOS</t>
  </si>
  <si>
    <t>DIRET ADJ DE SEGURANÇA CORPORATIVA</t>
  </si>
  <si>
    <t>DIRET ADJ PROCESSOS TECNOL DISTRIBUIÇÃO</t>
  </si>
  <si>
    <t>DIRET ADJ RELAÇÕES INSTITUCIONAIS E GOV</t>
  </si>
  <si>
    <t>DIRETORIA DE CONTROLE PATRIM PLANEJ</t>
  </si>
  <si>
    <t>DIRETORIA GERAL ADJUNTA</t>
  </si>
  <si>
    <t>NÉOS</t>
  </si>
  <si>
    <t>PRESIDÊNCIA CELPE</t>
  </si>
  <si>
    <t>PRESIDÊNCIA NEOENERGIA</t>
  </si>
  <si>
    <t>SUP CORP CONTROLE ATIVOS CONFORM REGUL</t>
  </si>
  <si>
    <t>SUP CORP DE COMPRAS CORPORATIVAS</t>
  </si>
  <si>
    <t>SUP CORP DE CONTABILIDADE</t>
  </si>
  <si>
    <t>SUP CORP DE FINANÇAS E TESOURARIA</t>
  </si>
  <si>
    <t>SUP CORP DE GOVERNANÇA</t>
  </si>
  <si>
    <t>SUP CORP DE SERVIÇOS GERAIS</t>
  </si>
  <si>
    <t>SUP CORP DE SISTEMAS</t>
  </si>
  <si>
    <t>SUP CORP DESENV ORGANIZ COMUNIC INTERNA</t>
  </si>
  <si>
    <t>SUP CORP RECURSOS HUMANOS LIB REN CORP</t>
  </si>
  <si>
    <t>SUP DESENVOLVIMENTO E APLICAÇÃO DISTR</t>
  </si>
  <si>
    <t>SUP GESTÃO DA RECEITA DISTRIBUIÇÃO</t>
  </si>
  <si>
    <t>SUP OPERAÇÃO LESTE CELPE</t>
  </si>
  <si>
    <t>SUP OPERAÇÃO OESTE CELPE</t>
  </si>
  <si>
    <t>SUP PLANEJ SISTEMA ELÉTRICO DISTRIBUIÇÃO</t>
  </si>
  <si>
    <t>SUP PROCESSOS COMERCIAIS DISTRIBUIÇÃO</t>
  </si>
  <si>
    <t>SUP REGULAÇÃO TÉC COMERCIAL DISTRIBUIÇÃO</t>
  </si>
  <si>
    <t>SUP RELACIONAMENTO COM CLIENTES CELPE</t>
  </si>
  <si>
    <t>SUP TÉCNICA CELPE</t>
  </si>
  <si>
    <t>DEP ASSESSORIA DA PRESIDÊNCIA</t>
  </si>
  <si>
    <t>DEP ATENDIMENTO COELBA</t>
  </si>
  <si>
    <t>DEP CONTROLE COELBA</t>
  </si>
  <si>
    <t>DEP CORP COMBATE E PREVENÇÃO INCÊNDIO</t>
  </si>
  <si>
    <t>DEP CORP CONTROLE ATIVOS TRANS RENOV LIB</t>
  </si>
  <si>
    <t>DEP CORP DE TRIBUTOS RENOV LIBERALIZ</t>
  </si>
  <si>
    <t>DEP CORP FROTA</t>
  </si>
  <si>
    <t>DEP CORP PROCESSOS E SEGUROS</t>
  </si>
  <si>
    <t>DEP CORP TRIB ESTADUAIS MUNICIPAIS REDES</t>
  </si>
  <si>
    <t>DEP DE AUDITORIA INTERNA DISTRIBUIÇÃO</t>
  </si>
  <si>
    <t>DEP DE COMPLIANCE GERAÇÃO/RENOVÁVEIS</t>
  </si>
  <si>
    <t>DEP DE REGULAÇÃO COMERCIALIZAÇÃO</t>
  </si>
  <si>
    <t>DEP DESEMPENHO DA OPERAÇÃO COELBA</t>
  </si>
  <si>
    <t>DEP GESTÃO DA RECEITA COELBA</t>
  </si>
  <si>
    <t>DEP GESTÃO EXPER CLIENTE DISTRIBUIÇÃO</t>
  </si>
  <si>
    <t>DEP GRANDES CLIENTES COELBA</t>
  </si>
  <si>
    <t>DEP MANUT SUBTRANSMISSÃO NORTE COELBA</t>
  </si>
  <si>
    <t>DEP MANUT SUBTRANSMISSÃO OESTE COELBA</t>
  </si>
  <si>
    <t>DEP MANUT SUBTRANSMISSÃO SUL COELBA</t>
  </si>
  <si>
    <t>DEP MARKETING INSTITUCIONAL</t>
  </si>
  <si>
    <t>DEP OPERAÇÃO CENTRO COELBA</t>
  </si>
  <si>
    <t>DEP OPERAÇÃO CENTRO OESTE COELBA</t>
  </si>
  <si>
    <t>DEP OPERAÇÃO CENTRO SUL COELBA</t>
  </si>
  <si>
    <t>DEP OPERAÇÃO DO SISTEMA ELÉTRICO COELBA</t>
  </si>
  <si>
    <t>DEP OPERAÇÃO METROPOLITANA COELBA</t>
  </si>
  <si>
    <t>DEP OPERAÇÃO NORDESTE COELBA</t>
  </si>
  <si>
    <t>DEP OPERAÇÃO NORTE COELBA</t>
  </si>
  <si>
    <t>DEP OPERAÇÃO OESTE COELBA</t>
  </si>
  <si>
    <t>DEP OPERAÇÃO SALVADOR COELBA</t>
  </si>
  <si>
    <t>DEP OPERAÇÃO SUDOESTE COELBA</t>
  </si>
  <si>
    <t>DEP OPERAÇÃO SUL COELBA</t>
  </si>
  <si>
    <t>DEP PROCESSO DE REDES COELBA</t>
  </si>
  <si>
    <t>DEP PROGRAMAÇÃO DE SERVIÇOS COELBA</t>
  </si>
  <si>
    <t>DEP RECUPERAÇÃO DE ENERGIA DISTRIBUIÇÃO</t>
  </si>
  <si>
    <t>DEP RECURSOS HUMANOS COELBA</t>
  </si>
  <si>
    <t>DEP REGULAÇÃO ECONÔMICA E FINANC COELBA</t>
  </si>
  <si>
    <t>DEP REGULAÇÃO TÉCNICA COMERCIAL COELBA</t>
  </si>
  <si>
    <t>DEP REGULAÇÃO TRANSMISSÃO</t>
  </si>
  <si>
    <t>DEP RELACOES INSTITUCIONAIS</t>
  </si>
  <si>
    <t>DEP SAÚDE E SEGURANÇA COELBA</t>
  </si>
  <si>
    <t>DEP SAÚDE E SEGURANÇA TRANSMISSÃO</t>
  </si>
  <si>
    <t>DEP SEGURANÇA FÍSICA COELBA</t>
  </si>
  <si>
    <t>DEP UNITIZAÇÃO E GESTÃO EPS COELBA</t>
  </si>
  <si>
    <t>DIRET ADJ DE COMPRAS SERVIÇOS GERAIS</t>
  </si>
  <si>
    <t>DIRET ADJ DE REGULAÇÃO</t>
  </si>
  <si>
    <t>DIRET ADJ DE RELAÇÕES COM INVESTIDORES</t>
  </si>
  <si>
    <t>DIRETORIA DE FINANÇAS E REL INVESTIDORES</t>
  </si>
  <si>
    <t>DIRETORIA JURÍDICA</t>
  </si>
  <si>
    <t>PRESIDÊNCIA COELBA</t>
  </si>
  <si>
    <t>SUP CORP COMUNICAÇÃO EXTERNA</t>
  </si>
  <si>
    <t>SUP CORP DE ADMINISTRAÇÃO</t>
  </si>
  <si>
    <t>SUP CORP DE AUDITORIA INTERNA</t>
  </si>
  <si>
    <t>SUP CORP DE CONSOLIDAÇÃO</t>
  </si>
  <si>
    <t>SUP CORP DE CONTROLES INTERNOS</t>
  </si>
  <si>
    <t>SUP CORP DE GESTÃO DE RH PARA NEGÓCIOS</t>
  </si>
  <si>
    <t>SUP CORP DE RISCOS</t>
  </si>
  <si>
    <t>SUP EXPANSÃO ALTA TENSÃO DISTRIBUIÇÃO</t>
  </si>
  <si>
    <t>SUP JURÍDICA DISTRIBUIÇÃO</t>
  </si>
  <si>
    <t>SUP JURÍDICO LIBERALIZADOS</t>
  </si>
  <si>
    <t>SUP OPERAÇÃO CENTRO NORTE COELBA</t>
  </si>
  <si>
    <t>SUP OPERAÇÃO METROPOLITANO SUL COELBA</t>
  </si>
  <si>
    <t>SUP OPERAÇÃO SUDOESTE OESTE COELBA</t>
  </si>
  <si>
    <t>SUP PLANEJAMENTO DO NEGÓCIO DISTRIBUIÇÃO</t>
  </si>
  <si>
    <t>SUP REDES E SUBESTAÇÕES DISTRIBUIÇÃO</t>
  </si>
  <si>
    <t>SUP REGULAÇÃO ECONÔM FINANC DISTRIBUIÇÃO</t>
  </si>
  <si>
    <t>SUP RELACIONAMENTO COM CLIENTES COELBA</t>
  </si>
  <si>
    <t>SUP TÉCNICA COELBA</t>
  </si>
  <si>
    <t>DEP ATENDIMENTO COSERN</t>
  </si>
  <si>
    <t>DEP COMUNICAÇÃO EXTERNA COSERN</t>
  </si>
  <si>
    <t>DEP CONTROLE COSERN</t>
  </si>
  <si>
    <t>DEP DESEMPENHO DA OPERAÇÃO COSERN</t>
  </si>
  <si>
    <t>DEP GESTÃO DA RECEITA COSERN</t>
  </si>
  <si>
    <t>DEP GRANDES CLIENTES COSERN</t>
  </si>
  <si>
    <t>DEP JURÍDICO COSERN</t>
  </si>
  <si>
    <t>DEP MANUTENÇÃO DA SUBTRANSMISSÃO COSERN</t>
  </si>
  <si>
    <t>DEP OPERAÇÃO DO SISTEMA ELÉTRICO COSERN</t>
  </si>
  <si>
    <t>DEP OPERAÇÃO LITORAL COSERN</t>
  </si>
  <si>
    <t>DEP OPERAÇÃO OESTE-SERIDÓ COSERN</t>
  </si>
  <si>
    <t>DEP PROCESSOS REDE COSERN</t>
  </si>
  <si>
    <t>DEP PROGRAMAÇÃO DE SERVIÇOS COSERN</t>
  </si>
  <si>
    <t>DEP RECURSOS HUMANOS COSERN</t>
  </si>
  <si>
    <t>DEP REGULAÇÃO ECONÔMICA E FINANC COSERN</t>
  </si>
  <si>
    <t>DEP REGULAÇÃO TÉCNICA COMERCIAL COSERN</t>
  </si>
  <si>
    <t>DEP SAÚDE E SEGURANÇA COSERN</t>
  </si>
  <si>
    <t>PRESIDÊNCIA COSERN</t>
  </si>
  <si>
    <t>SUP CORP DE COMPLIANCE</t>
  </si>
  <si>
    <t>SUP CORP PLANEJ GESTÃO FUNC CORPORATIVAS</t>
  </si>
  <si>
    <t>SUP CORP RELAÇÕES TRABALHISTAS</t>
  </si>
  <si>
    <t>SUP JURÍDICO RENOVÁVEIS</t>
  </si>
  <si>
    <t>SUP OPERAÇÕES COSERN</t>
  </si>
  <si>
    <t>SUP RELACIONAMENTO COM CLIENTES COSERN</t>
  </si>
  <si>
    <t>SUP TÉCNICA COSERN</t>
  </si>
  <si>
    <t>DEP ANALISES FINANCEIRAS</t>
  </si>
  <si>
    <t>DEP ATENDIMENTO ELEKTRO</t>
  </si>
  <si>
    <t>DEP CONTABILIDADE ELEKTRO/TRANSMISSÃO</t>
  </si>
  <si>
    <t>DEP CONTROLE ELEKTRO</t>
  </si>
  <si>
    <t>DEP CONTROLE TRANSMISSÃO</t>
  </si>
  <si>
    <t>DEP CORP DE DESENVOLVIMENTO CORPORATIVO</t>
  </si>
  <si>
    <t>DEP CORP DESENVOLVIMENTO ORGANIZACIONAL</t>
  </si>
  <si>
    <t>DEP CORP INFORMES DE RESULTADOS CORP</t>
  </si>
  <si>
    <t>DEP CORP SERVIÇOS E OBRAS</t>
  </si>
  <si>
    <t>DEP DESEMPENHO DA OPERAÇÃO ELEKTRO</t>
  </si>
  <si>
    <t>DEP GESTÃO DA RECEITA ELEKTRO</t>
  </si>
  <si>
    <t>DEP GRANDES CLIENTES ELEKTRO</t>
  </si>
  <si>
    <t>DEP JURÍDICO ELEKTRO</t>
  </si>
  <si>
    <t>DEP JURÍDICO TRANSMISSÃO</t>
  </si>
  <si>
    <t>DEP MANUT SUBTRANSMISSÃO CENTRO ELEKTRO</t>
  </si>
  <si>
    <t>DEP MANUT SUBTRANSMISSÃO LESTE ELEKTRO</t>
  </si>
  <si>
    <t>DEP MANUT SUBTRANSMISSÃO OESTE ELEKTRO</t>
  </si>
  <si>
    <t>DEP MANUT SUBTRANSMISSÃO SUL ELEKTRO</t>
  </si>
  <si>
    <t>DEP NOVOS NEGÓCIOS TRANSMISSÃO</t>
  </si>
  <si>
    <t>DEP OPERAÇÃO ALTA PAULISTA ELEKTRO</t>
  </si>
  <si>
    <t>DEP OPERAÇÃO CANTAREIRA ELEKTRO</t>
  </si>
  <si>
    <t>DEP OPERAÇÃO DO SISTEMA ELÉTRICO ELEKTRO</t>
  </si>
  <si>
    <t>DEP OPERAÇÃO LESTE PAULISTA ELEKTRO</t>
  </si>
  <si>
    <t>DEP OPERAÇÃO LITORAL SUL ELEKTRO</t>
  </si>
  <si>
    <t>DEP OPERAÇÃO MÉDIO TIETÊ ELEKTRO</t>
  </si>
  <si>
    <t>DEP OPERAÇÃO NORTE PAULISTA ELEKTRO</t>
  </si>
  <si>
    <t>DEP OPERAÇÃO OESTE PAULISTA ELEKTRO</t>
  </si>
  <si>
    <t>DEP OPERAÇÃO POLO CERÂMICO ELEKTRO</t>
  </si>
  <si>
    <t>DEP OPERAÇÃO POLO DAS INDUSTRIAS ELEKTRO</t>
  </si>
  <si>
    <t>DEP OPERAÇÃO SUDOESTE PAULISTA ELEKTRO</t>
  </si>
  <si>
    <t>DEP OPERAÇÃO VALE DO PARAÍBA ELEKTRO</t>
  </si>
  <si>
    <t>DEP OPERAÇÃO VALE DO RIBEIRA ELEKTRO</t>
  </si>
  <si>
    <t>DEP PROCESSO DE REDES ELEKTRO</t>
  </si>
  <si>
    <t>DEP PROGRAMAÇÃO DE SERVIÇOS ELEKTRO</t>
  </si>
  <si>
    <t>DEP RECURSOS HUMANOS ELEKTRO</t>
  </si>
  <si>
    <t>DEP RECURSOS HUMANOS TRANSMISSÃO</t>
  </si>
  <si>
    <t>DEP REGULAÇÃO ECONÔMICA E FINANC ELEKTRO</t>
  </si>
  <si>
    <t>DEP REGULAÇÃO TÉCNICA COMERCIAL ELEKTRO</t>
  </si>
  <si>
    <t>DEP SAÚDE E SEGURANÇA ELEKTRO</t>
  </si>
  <si>
    <t>DEP UNITIZAÇÃO E GESTÃO EPS ELEKTRO</t>
  </si>
  <si>
    <t>DIRET ADJ CONTROLE DISTRIBUIÇÃO</t>
  </si>
  <si>
    <t>DIRET ADJ PLAN REDES INVEST DISTRIBUIÇÃO</t>
  </si>
  <si>
    <t>DIRET ADJ SERVIÇO CLIENTE DISTRIBUIÇÃO</t>
  </si>
  <si>
    <t>DIRET ADJ TRANSMISSÃO PROJ DISTRIBUIÇÃO</t>
  </si>
  <si>
    <t>DIRETORIA DE RECURSOS</t>
  </si>
  <si>
    <t>PRESIDÊNCIA ELEKTRO</t>
  </si>
  <si>
    <t>SUP CORP DE DESENVOLVIMENTO CORPORATIVO</t>
  </si>
  <si>
    <t>SUP CORP OBRAS SERVIÇOS INSTAL TÉCNICAS</t>
  </si>
  <si>
    <t>SUP CORP PLAN RH REMUNER ORÇAMEN BENEF</t>
  </si>
  <si>
    <t>SUP CORP TRIBUTÁRIA</t>
  </si>
  <si>
    <t>SUP ESTRAT PLAN ENERGÉTICO DISTRIBUIÇÃO</t>
  </si>
  <si>
    <t>SUP EXPERIÊNCIA CLIENTE DISTRIBUIÇÃO</t>
  </si>
  <si>
    <t>SUP NOVOS NEGÓCIOS TRANSMISSÃO</t>
  </si>
  <si>
    <t>SUP OPERAÇÃO CENTRO OESTE ELEKTRO</t>
  </si>
  <si>
    <t>SUP OPERAÇÃO LESTE SUL ELEKTRO</t>
  </si>
  <si>
    <t>SUP PROCESSOS TÉC SUSTENTABILIDADE DISTR</t>
  </si>
  <si>
    <t>SUP RELACIONAMENTO COM CLIENTES ELEKTRO</t>
  </si>
  <si>
    <t>SUP SMART GRIDS OPERATIVO DISTRIBUIÇÃO</t>
  </si>
  <si>
    <t>SUP TÉCNICA ELEKTRO</t>
  </si>
  <si>
    <t>DEP AUDITORIA INTERNA REN E LIB</t>
  </si>
  <si>
    <t>DEP CONTABILIDADE RENOV/LIBERALIZ</t>
  </si>
  <si>
    <t>DEP CONTROLE RENOVÁVEIS</t>
  </si>
  <si>
    <t>DEP DE ENG ELETROMECÂNICA RENOVÁVEIS</t>
  </si>
  <si>
    <t>DEP DE REGULAÇÃO GERAÇÃO/RENOVÁVEIS</t>
  </si>
  <si>
    <t>DEP ENG CIVIL DESENV HIDRÍCO RENOVÁVEIS</t>
  </si>
  <si>
    <t>DEP FUNDIÁRIO RENOVÁVEIS</t>
  </si>
  <si>
    <t>DEP MANUTENÇÃO HIDRELÉTRICA RENOVÁVEIS</t>
  </si>
  <si>
    <t>DEP P&amp;T DIGITALIZAÇÃO HIDR RENOVÁVEIS</t>
  </si>
  <si>
    <t>DEP PLANEJAMENTO DE NEGÓCIOS RENOVÁVEIS</t>
  </si>
  <si>
    <t>DEP SAÚDE SEGURANÇA RENOV LIBER HOLDING</t>
  </si>
  <si>
    <t>DIRET ADJ HIDRÁULICA OFFSHORE</t>
  </si>
  <si>
    <t>INSTITUTO NEOENERGIA</t>
  </si>
  <si>
    <t>SUP CONTROLE GERAÇÃO/RENOVÁVEIS</t>
  </si>
  <si>
    <t>SUP CORP INOV SUSTENT E MUD CLIMÁTICA</t>
  </si>
  <si>
    <t>SUP DE REGULAÇÃO GERAÇÃO/RENOVÁVEIS</t>
  </si>
  <si>
    <t>SUP OPERAÇÃO MANUTENÇÃO HIDR RENOVÁVEIS</t>
  </si>
  <si>
    <t>NSE1 - DEP SMART ENGENHARIA LIBERALIZADOS</t>
  </si>
  <si>
    <t>NSE1 - SUP SMART LIBERALIZADOS</t>
  </si>
  <si>
    <t>DEP BACK OFFICE LIBERALIZADOS</t>
  </si>
  <si>
    <t>DEP CONTROLE GERAÇÃO</t>
  </si>
  <si>
    <t>DEP DE IMPULSO AO DESENV LIBERALIZADOS</t>
  </si>
  <si>
    <t>DEP DE PORTFÓLIO LIBERALIZADOS</t>
  </si>
  <si>
    <t>DEP PLANEJ E ANÁLISE LIBERALIZADOS</t>
  </si>
  <si>
    <t>DEP PLANEJ E SUP COMERCIAL LIBERALIZADOS</t>
  </si>
  <si>
    <t>DEP VENDAS E GESTÃO LIBERALIZADOS</t>
  </si>
  <si>
    <t>DEP VENDAS NORTE NORDESTE LIBERALIZADOS</t>
  </si>
  <si>
    <t>DEP VENDAS SUL E SUDESTE LIBERALIZADOS</t>
  </si>
  <si>
    <t>DIRET ADJ GESEN E OPERAÇÕES TÉRMICAS</t>
  </si>
  <si>
    <t>DIRETORIA NEGÓCIOS LIBERALIZADOS</t>
  </si>
  <si>
    <t>SUP COMERCIAL LIBERALIZADOS</t>
  </si>
  <si>
    <t>SUP GESTÃO DE ENERGIA LIBERALIZADOS</t>
  </si>
  <si>
    <t>DEP ATENDIMENTO DF</t>
  </si>
  <si>
    <t>DEP COMPLIANCE DF</t>
  </si>
  <si>
    <t>DEP COMUNICAÇÃO EXTERNA DF</t>
  </si>
  <si>
    <t>DEP CONTROLE DF</t>
  </si>
  <si>
    <t>DEP CORP DE SISTEMAS</t>
  </si>
  <si>
    <t>DEP DESEMPENHO DA OPERAÇÃO DF</t>
  </si>
  <si>
    <t>DEP GESTÃO DA RECEITA DF</t>
  </si>
  <si>
    <t>DEP GRANDES CLIENTES DF</t>
  </si>
  <si>
    <t>DEP JURÍDICO DF</t>
  </si>
  <si>
    <t>DEP MANUTENÇÃO DA SUBTRANSMISSÃO DF</t>
  </si>
  <si>
    <t>DEP OPERAÇÃO CENTRO LESTE DF</t>
  </si>
  <si>
    <t>DEP OPERAÇÃO DO SISTEMA ELÉTRICO DF</t>
  </si>
  <si>
    <t>DEP OPERAÇÃO OESTE SUL DF</t>
  </si>
  <si>
    <t>DEP PROCESSOS REDE DF</t>
  </si>
  <si>
    <t>DEP PROGRAMAÇÃO DE SERVIÇOS DF</t>
  </si>
  <si>
    <t>DEP RECURSOS HUMANOS DF</t>
  </si>
  <si>
    <t>DEP REGULAÇÃO ECONÔMICA E FINANCEIRA DF</t>
  </si>
  <si>
    <t>DEP REGULAÇÃO TÉCNICA COMERCIAL DF</t>
  </si>
  <si>
    <t>DEP RELAÇÕES INSTITUCIONAIS DF</t>
  </si>
  <si>
    <t>DEP SAÚDE E SEGURANÇA DF</t>
  </si>
  <si>
    <t>DEP UNITIZAÇÃO E GESTÃO EPS DF</t>
  </si>
  <si>
    <t>PRESIDÊNCIA DF</t>
  </si>
  <si>
    <t>SUP FUNDIÁRIA AMBIENTAL TRANSMISSÃO</t>
  </si>
  <si>
    <t>SUP OPERAÇÕES DF</t>
  </si>
  <si>
    <t>SUP RELACIONAMENTO COM CLIENTES DF</t>
  </si>
  <si>
    <t>SUP TÉCNICA DF</t>
  </si>
  <si>
    <t>SUP OPERAÇÕES TERMOPE</t>
  </si>
  <si>
    <t>ELEKTRO RENOVAVEIS</t>
  </si>
  <si>
    <t>DIRETORIA DE DESENVOLVIMENTO</t>
  </si>
  <si>
    <t>DIRETORIA DE DISTRIBUIÇÃO</t>
  </si>
  <si>
    <t>DIRETORIA RENOVÁVEIS</t>
  </si>
  <si>
    <t>DEP CONSTRUÇÃO E OFERTAS RENOVÁVEIS</t>
  </si>
  <si>
    <t>DEP ENGENHARIA RENOVÁVEIS</t>
  </si>
  <si>
    <t>DEP GESTÃO TÉCNICA DE ATIVOS RENOVÁVEIS</t>
  </si>
  <si>
    <t>DEP INVEST E SEGUIMENTO NEG RENOVÁVEIS</t>
  </si>
  <si>
    <t>DEP O&amp;M REGIONAL RENOVÁVEIS</t>
  </si>
  <si>
    <t>DEP PERMISSÕES RENOVÁVEIS</t>
  </si>
  <si>
    <t>DEP PROMOÇÃO RENOVÁVEIS</t>
  </si>
  <si>
    <t>DEP REC EÓLICOS E SOLAR RENOVÁVEIS</t>
  </si>
  <si>
    <t>DEP RELACIONAMENTO OPERAC RENOVÁVEIS</t>
  </si>
  <si>
    <t>SUP DE PROJETOS RENOVÁVEIS</t>
  </si>
  <si>
    <t>SUP DESENV DE NEGOCIOS RENOVÁVEIS</t>
  </si>
  <si>
    <t>SUP OPERAÇÃO E MANUTENÇÃO RENOVÁVEIS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</si>
</sst>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family val="2"/>
      <sz val="9"/>
      <name val="Arial"/>
    </font>
    <font>
      <color theme="0"/>
      <family val="2"/>
      <scheme val="minor"/>
      <sz val="11"/>
      <name val="Calibri"/>
    </font>
    <font>
      <b/>
      <color theme="0"/>
      <family val="2"/>
      <sz val="11"/>
      <name val="Arial"/>
    </font>
    <font>
      <b/>
      <family val="2"/>
      <sz val="10"/>
      <name val="Arial"/>
    </font>
    <font>
      <family val="2"/>
      <sz val="8"/>
      <name val="Arial"/>
    </font>
    <font>
      <family val="2"/>
      <sz val="10"/>
      <name val="Arial"/>
    </font>
    <font>
      <color theme="1"/>
      <family val="2"/>
      <sz val="10"/>
      <name val="Aptos"/>
    </font>
    <font>
      <b/>
      <color theme="0"/>
      <family val="2"/>
      <sz val="8"/>
      <name val="Arial"/>
    </font>
    <font>
      <family val="2"/>
      <sz val="12"/>
      <name val="Arial"/>
    </font>
    <font>
      <b/>
      <family val="2"/>
      <sz val="12"/>
      <name val="Arial"/>
    </font>
    <font>
      <b/>
      <family val="2"/>
      <sz val="14"/>
      <name val="Arial"/>
    </font>
    <font>
      <b/>
      <color theme="0"/>
      <family val="2"/>
      <scheme val="minor"/>
      <sz val="11"/>
      <name val="Calibri"/>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00B0F0"/>
        <bgColor indexed="64"/>
      </patternFill>
    </fill>
  </fills>
  <borders count="17">
    <border>
      <left/>
      <right/>
      <top/>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32">
    <xf numFmtId="0" fontId="0" fillId="0" borderId="0" xfId="0"/>
    <xf numFmtId="0" fontId="1" fillId="0" borderId="0" xfId="0" applyFont="1"/>
    <xf numFmtId="1" fontId="0" fillId="0" borderId="0" xfId="0" applyNumberFormat="1"/>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vertical="top"/>
    </xf>
    <xf numFmtId="49" fontId="4" fillId="0" borderId="1" xfId="0" applyNumberFormat="1" applyFont="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5" fillId="0" borderId="0" xfId="0" applyFont="1"/>
    <xf numFmtId="49" fontId="0" fillId="0" borderId="0" xfId="0" applyNumberFormat="1"/>
    <xf numFmtId="0" fontId="3"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49" fontId="3" fillId="2" borderId="6"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7" xfId="0" applyNumberFormat="1" applyFont="1" applyFill="1" applyBorder="1" applyAlignment="1">
      <alignment horizontal="center"/>
    </xf>
    <xf numFmtId="0" fontId="3" fillId="2" borderId="6" xfId="0" applyFont="1" applyFill="1" applyBorder="1" applyAlignment="1">
      <alignment horizontal="center"/>
    </xf>
    <xf numFmtId="49" fontId="6" fillId="0" borderId="5" xfId="0" applyNumberFormat="1" applyFont="1" applyBorder="1" applyAlignment="1">
      <alignment horizontal="center"/>
    </xf>
    <xf numFmtId="14" fontId="0" fillId="3" borderId="0" xfId="0" applyNumberFormat="1" applyFill="1"/>
    <xf numFmtId="0" fontId="5" fillId="0" borderId="4" xfId="0" applyFont="1" applyBorder="1" applyAlignment="1">
      <alignment horizontal="center"/>
    </xf>
    <xf numFmtId="49" fontId="6" fillId="0" borderId="6" xfId="0" applyNumberFormat="1" applyFont="1" applyBorder="1" applyAlignment="1" applyProtection="1">
      <alignment horizontal="center"/>
      <protection locked="0"/>
    </xf>
    <xf numFmtId="49" fontId="6" fillId="0" borderId="3" xfId="0" applyNumberFormat="1" applyFont="1" applyBorder="1" applyAlignment="1" applyProtection="1">
      <alignment horizontal="center"/>
      <protection locked="0"/>
    </xf>
    <xf numFmtId="49" fontId="6" fillId="0" borderId="7" xfId="0" applyNumberFormat="1" applyFont="1" applyBorder="1" applyAlignment="1" applyProtection="1">
      <alignment horizontal="center"/>
      <protection locked="0"/>
    </xf>
    <xf numFmtId="0" fontId="7" fillId="0" borderId="6" xfId="0" applyFont="1" applyBorder="1" applyAlignment="1">
      <alignment horizontal="left" vertical="top" wrapText="1"/>
    </xf>
    <xf numFmtId="1" fontId="6" fillId="0" borderId="4" xfId="0" applyNumberFormat="1" applyFont="1" applyBorder="1" applyAlignment="1" applyProtection="1">
      <alignment horizontal="center"/>
      <protection locked="0"/>
    </xf>
    <xf numFmtId="49" fontId="6" fillId="0" borderId="4" xfId="0" applyNumberFormat="1" applyFont="1" applyBorder="1" applyAlignment="1">
      <alignment horizontal="center"/>
    </xf>
    <xf numFmtId="49" fontId="6" fillId="0" borderId="8" xfId="0" applyNumberFormat="1" applyFont="1" applyBorder="1" applyAlignment="1" applyProtection="1">
      <alignment horizontal="center"/>
      <protection locked="0"/>
    </xf>
    <xf numFmtId="49" fontId="6" fillId="0" borderId="6" xfId="0" applyNumberFormat="1" applyFont="1" applyBorder="1" applyAlignment="1">
      <alignment horizontal="center"/>
    </xf>
    <xf numFmtId="49" fontId="6" fillId="0" borderId="3" xfId="0" applyNumberFormat="1" applyFont="1" applyBorder="1" applyAlignment="1">
      <alignment horizontal="center"/>
    </xf>
    <xf numFmtId="0" fontId="6" fillId="0" borderId="6" xfId="0" applyFont="1" applyBorder="1" applyAlignment="1">
      <alignment horizontal="left" vertical="top" wrapText="1"/>
    </xf>
    <xf numFmtId="14" fontId="6" fillId="0" borderId="4" xfId="0" applyNumberFormat="1" applyFont="1" applyBorder="1" applyAlignment="1" applyProtection="1">
      <alignment horizontal="center"/>
      <protection locked="0"/>
    </xf>
    <xf numFmtId="0" fontId="6" fillId="0" borderId="4" xfId="0" applyFont="1" applyBorder="1" applyAlignment="1">
      <alignment horizontal="left" vertical="top" wrapText="1"/>
    </xf>
    <xf numFmtId="1" fontId="0" fillId="0" borderId="6" xfId="0" applyNumberFormat="1" applyBorder="1" applyAlignment="1">
      <alignment horizontal="center" vertical="center"/>
    </xf>
    <xf numFmtId="1" fontId="0" fillId="0" borderId="3" xfId="0" applyNumberFormat="1" applyBorder="1" applyAlignment="1">
      <alignment horizontal="center" vertical="center"/>
    </xf>
    <xf numFmtId="49" fontId="6" fillId="0" borderId="6" xfId="0" applyNumberFormat="1"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1" fontId="0" fillId="0" borderId="6" xfId="0" applyNumberFormat="1" applyBorder="1" applyAlignment="1">
      <alignment horizontal="center"/>
    </xf>
    <xf numFmtId="1" fontId="0" fillId="0" borderId="3" xfId="0" applyNumberFormat="1" applyBorder="1" applyAlignment="1">
      <alignment horizontal="center"/>
    </xf>
    <xf numFmtId="49" fontId="6" fillId="0" borderId="9" xfId="0" applyNumberFormat="1" applyFont="1" applyBorder="1" applyAlignment="1">
      <alignment horizontal="center"/>
    </xf>
    <xf numFmtId="14" fontId="6" fillId="0" borderId="0" xfId="0" applyNumberFormat="1" applyFont="1" applyAlignment="1" applyProtection="1">
      <alignment horizontal="center"/>
      <protection locked="0"/>
    </xf>
    <xf numFmtId="0" fontId="5" fillId="0" borderId="0" xfId="0" applyFont="1" applyAlignment="1">
      <alignment horizontal="center"/>
    </xf>
    <xf numFmtId="49" fontId="6" fillId="0" borderId="0" xfId="0" applyNumberFormat="1" applyFont="1" applyAlignment="1" applyProtection="1">
      <alignment horizontal="center"/>
      <protection locked="0"/>
    </xf>
    <xf numFmtId="0" fontId="6" fillId="0" borderId="0" xfId="0" applyFont="1" applyAlignment="1">
      <alignment horizontal="left" vertical="top" wrapText="1"/>
    </xf>
    <xf numFmtId="1" fontId="6" fillId="0" borderId="0" xfId="0" applyNumberFormat="1" applyFont="1" applyAlignment="1" applyProtection="1">
      <alignment horizontal="center"/>
      <protection locked="0"/>
    </xf>
    <xf numFmtId="1" fontId="6" fillId="0" borderId="10" xfId="0" applyNumberFormat="1" applyFont="1" applyBorder="1" applyAlignment="1" applyProtection="1">
      <alignment horizontal="center"/>
      <protection locked="0"/>
    </xf>
    <xf numFmtId="49" fontId="3" fillId="2" borderId="2" xfId="0" applyNumberFormat="1" applyFont="1" applyFill="1" applyBorder="1" applyAlignment="1">
      <alignment horizontal="center"/>
    </xf>
    <xf numFmtId="49" fontId="3" fillId="2" borderId="6" xfId="0" applyNumberFormat="1" applyFont="1" applyFill="1" applyBorder="1" applyAlignment="1" applyProtection="1">
      <alignment horizontal="left" vertical="top" wrapText="1"/>
      <protection locked="0"/>
    </xf>
    <xf numFmtId="49" fontId="3" fillId="2" borderId="7" xfId="0" applyNumberFormat="1" applyFont="1" applyFill="1" applyBorder="1" applyAlignment="1" applyProtection="1">
      <alignment horizontal="center"/>
      <protection locked="0"/>
    </xf>
    <xf numFmtId="49" fontId="3" fillId="2" borderId="3" xfId="0" applyNumberFormat="1" applyFont="1" applyFill="1" applyBorder="1" applyAlignment="1" applyProtection="1">
      <alignment horizontal="center"/>
      <protection locked="0"/>
    </xf>
    <xf numFmtId="0" fontId="0" fillId="0" borderId="11" xfId="0" applyBorder="1"/>
    <xf numFmtId="0" fontId="0" fillId="0" borderId="12" xfId="0" applyBorder="1"/>
    <xf numFmtId="49" fontId="0" fillId="0" borderId="12" xfId="0" applyNumberFormat="1" applyBorder="1"/>
    <xf numFmtId="49" fontId="0" fillId="0" borderId="13" xfId="0" applyNumberFormat="1" applyBorder="1"/>
    <xf numFmtId="0" fontId="0" fillId="0" borderId="0" xfId="0" applyAlignment="1">
      <alignment horizontal="left" vertical="top" wrapText="1"/>
    </xf>
    <xf numFmtId="0" fontId="0" fillId="0" borderId="10" xfId="0" applyBorder="1"/>
    <xf numFmtId="0" fontId="0" fillId="0" borderId="9"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8" xfId="0" applyFont="1" applyBorder="1" applyAlignment="1">
      <alignment horizontal="center"/>
    </xf>
    <xf numFmtId="0" fontId="0" fillId="0" borderId="15" xfId="0" applyBorder="1" applyAlignment="1">
      <alignment horizontal="left" vertical="top" wrapText="1"/>
    </xf>
    <xf numFmtId="0" fontId="0" fillId="0" borderId="8" xfId="0" applyBorder="1"/>
    <xf numFmtId="0" fontId="3" fillId="2" borderId="4" xfId="0" applyFont="1" applyFill="1" applyBorder="1" applyAlignment="1">
      <alignment horizontal="left"/>
    </xf>
    <xf numFmtId="0" fontId="8" fillId="2" borderId="4" xfId="0" applyFont="1" applyFill="1" applyBorder="1" applyAlignment="1">
      <alignment horizontal="left"/>
    </xf>
    <xf numFmtId="0" fontId="4" fillId="0" borderId="4" xfId="0" applyFont="1" applyBorder="1" applyAlignment="1">
      <alignment horizontal="center"/>
    </xf>
    <xf numFmtId="49" fontId="4" fillId="0" borderId="4" xfId="0" applyNumberFormat="1"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4" fillId="0" borderId="16" xfId="0" applyFont="1" applyBorder="1" applyAlignment="1">
      <alignment horizontal="center"/>
    </xf>
    <xf numFmtId="49" fontId="4" fillId="0" borderId="16" xfId="0" applyNumberFormat="1" applyFont="1" applyBorder="1" applyAlignment="1">
      <alignment horizontal="center"/>
    </xf>
    <xf numFmtId="0" fontId="4" fillId="0" borderId="14" xfId="0" applyFont="1" applyBorder="1" applyAlignment="1">
      <alignment horizontal="center"/>
    </xf>
    <xf numFmtId="0" fontId="4" fillId="0" borderId="8" xfId="0" applyFont="1" applyBorder="1" applyAlignment="1">
      <alignment horizontal="center"/>
    </xf>
    <xf numFmtId="0" fontId="4" fillId="0" borderId="5" xfId="0" applyFont="1" applyBorder="1" applyAlignment="1">
      <alignment horizontal="center"/>
    </xf>
    <xf numFmtId="49" fontId="4" fillId="0" borderId="14" xfId="0" applyNumberFormat="1" applyFont="1" applyBorder="1" applyAlignment="1">
      <alignment horizontal="center"/>
    </xf>
    <xf numFmtId="49" fontId="4" fillId="0" borderId="8" xfId="0" applyNumberFormat="1" applyFont="1" applyBorder="1" applyAlignment="1">
      <alignment horizontal="center"/>
    </xf>
    <xf numFmtId="14" fontId="0" fillId="0" borderId="0" xfId="0" applyNumberFormat="1"/>
    <xf numFmtId="0" fontId="5" fillId="0" borderId="0" xfId="0" applyFont="1" applyAlignment="1">
      <alignment horizontal="left"/>
    </xf>
    <xf numFmtId="49" fontId="5" fillId="0" borderId="0" xfId="0" applyNumberFormat="1" applyFont="1" applyAlignment="1">
      <alignment horizontal="left"/>
    </xf>
    <xf numFmtId="49" fontId="0" fillId="0" borderId="0" xfId="0" applyNumberFormat="1" applyAlignment="1">
      <alignment horizontal="center"/>
    </xf>
    <xf numFmtId="0" fontId="4" fillId="0" borderId="0" xfId="0" applyFont="1" applyAlignment="1">
      <alignment horizontal="center"/>
    </xf>
    <xf numFmtId="49" fontId="4" fillId="0" borderId="0" xfId="0" applyNumberFormat="1" applyFont="1" applyAlignment="1">
      <alignment horizontal="center"/>
    </xf>
    <xf numFmtId="0" fontId="0" fillId="0" borderId="0" xfId="0" applyAlignment="1">
      <alignment horizontal="center" vertical="center"/>
    </xf>
    <xf numFmtId="0" fontId="9"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10" fillId="0" borderId="0" xfId="0" applyFont="1" applyAlignment="1">
      <alignment horizontal="center" vertical="center"/>
    </xf>
    <xf numFmtId="0" fontId="0" fillId="0" borderId="0" xfId="0" applyAlignment="1">
      <alignment horizontal="left" vertical="top"/>
    </xf>
    <xf numFmtId="0" fontId="5" fillId="0" borderId="0" xfId="0" applyFont="1" applyAlignment="1">
      <alignment vertical="top"/>
    </xf>
    <xf numFmtId="0" fontId="5" fillId="0" borderId="0" xfId="0" applyFont="1" applyAlignment="1">
      <alignment horizontal="left" vertical="top"/>
    </xf>
    <xf numFmtId="0" fontId="11" fillId="0" borderId="0" xfId="0" applyFont="1" applyAlignment="1">
      <alignment horizontal="center" vertical="center"/>
    </xf>
    <xf numFmtId="49" fontId="11" fillId="0" borderId="0" xfId="0"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5"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49" fontId="6" fillId="0" borderId="0" xfId="0" applyNumberFormat="1" applyFont="1" applyAlignment="1">
      <alignment horizontal="center"/>
    </xf>
    <xf numFmtId="0" fontId="12" fillId="2" borderId="0" xfId="0" applyFont="1" applyFill="1" applyAlignment="1">
      <alignment horizontal="center" vertical="center"/>
    </xf>
    <xf numFmtId="0" fontId="12" fillId="3" borderId="0" xfId="0" applyFont="1" applyFill="1" applyAlignment="1">
      <alignment horizontal="center" vertical="center"/>
    </xf>
    <xf numFmtId="0" fontId="12" fillId="3" borderId="0" xfId="0" applyFont="1" applyFill="1" applyAlignment="1">
      <alignment horizontal="center"/>
    </xf>
    <xf numFmtId="0" fontId="12" fillId="3" borderId="0" xfId="0" applyFont="1" applyFill="1" applyAlignment="1">
      <alignment horizontal="left" vertical="center"/>
    </xf>
    <xf numFmtId="0" fontId="0" fillId="2" borderId="2" xfId="0" applyFill="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2" xfId="0" applyFont="1" applyFill="1" applyBorder="1" applyAlignment="1">
      <alignment vertical="center" wrapText="1"/>
    </xf>
    <xf numFmtId="0" fontId="12" fillId="2" borderId="2" xfId="0" applyFont="1" applyFill="1" applyBorder="1" applyAlignment="1">
      <alignment vertical="center"/>
    </xf>
    <xf numFmtId="0" fontId="12" fillId="2" borderId="2" xfId="0" applyFont="1" applyFill="1" applyBorder="1" applyAlignment="1">
      <alignment horizontal="left" vertical="center"/>
    </xf>
    <xf numFmtId="0" fontId="12" fillId="2" borderId="5" xfId="0" applyFont="1" applyFill="1" applyBorder="1" applyAlignment="1">
      <alignment horizontal="center" vertical="center"/>
    </xf>
    <xf numFmtId="0" fontId="12" fillId="2" borderId="5" xfId="0" applyFont="1" applyFill="1" applyBorder="1" applyAlignment="1">
      <alignment horizontal="center" vertical="center" wrapText="1"/>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3" borderId="0" xfId="0" applyFill="1"/>
    <xf numFmtId="0" fontId="0" fillId="3" borderId="6" xfId="0" applyFill="1" applyBorder="1" applyAlignment="1">
      <alignment horizontal="center" vertical="center"/>
    </xf>
    <xf numFmtId="0" fontId="0" fillId="3" borderId="4" xfId="0" applyFill="1" applyBorder="1" applyAlignment="1">
      <alignment horizontal="center" vertical="center" wrapText="1"/>
    </xf>
    <xf numFmtId="0" fontId="0" fillId="3" borderId="4" xfId="0" applyFill="1" applyBorder="1" applyAlignment="1">
      <alignment horizontal="left" vertical="center" wrapText="1"/>
    </xf>
    <xf numFmtId="0" fontId="0" fillId="4" borderId="0" xfId="0" applyFill="1"/>
    <xf numFmtId="0" fontId="0" fillId="0" borderId="4" xfId="0" applyBorder="1" applyAlignment="1">
      <alignment horizontal="center" vertical="center"/>
    </xf>
    <xf numFmtId="0" fontId="0" fillId="0" borderId="4" xfId="0" applyBorder="1" applyAlignment="1">
      <alignment wrapText="1"/>
    </xf>
    <xf numFmtId="0" fontId="12" fillId="2" borderId="0" xfId="0" applyFont="1" applyFill="1" applyAlignment="1">
      <alignment horizontal="center"/>
    </xf>
    <xf numFmtId="0" fontId="12" fillId="2" borderId="4" xfId="0" applyFont="1" applyFill="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xml"/><Relationship Id="rId5" Type="http://schemas.openxmlformats.org/officeDocument/2006/relationships/worksheet" Target="worksheets/sheet3.xml"/><Relationship Id="rId6" Type="http://schemas.openxmlformats.org/officeDocument/2006/relationships/worksheet" Target="worksheets/sheet1.xml"/><Relationship Id="rId7" Type="http://schemas.openxmlformats.org/officeDocument/2006/relationships/worksheet" Target="worksheets/sheet5.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116893</xdr:colOff>
      <xdr:row>4</xdr:row>
      <xdr:rowOff>139794</xdr:rowOff>
    </xdr:from>
    <xdr:to>
      <xdr:col>12</xdr:col>
      <xdr:colOff>280147</xdr:colOff>
      <xdr:row>44</xdr:row>
      <xdr:rowOff>92348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17</xdr:col>
      <xdr:colOff>244929</xdr:colOff>
      <xdr:row>0</xdr:row>
      <xdr:rowOff>163286</xdr:rowOff>
    </xdr:from>
    <xdr:to>
      <xdr:col>18</xdr:col>
      <xdr:colOff>364066</xdr:colOff>
      <xdr:row>4</xdr:row>
      <xdr:rowOff>138840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1309686</xdr:colOff>
      <xdr:row>8</xdr:row>
      <xdr:rowOff>30956</xdr:rowOff>
    </xdr:from>
    <xdr:to>
      <xdr:col>6</xdr:col>
      <xdr:colOff>4486562</xdr:colOff>
      <xdr:row>47</xdr:row>
      <xdr:rowOff>141328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95251</xdr:colOff>
      <xdr:row>0</xdr:row>
      <xdr:rowOff>209549</xdr:rowOff>
    </xdr:from>
    <xdr:to>
      <xdr:col>1</xdr:col>
      <xdr:colOff>1054936</xdr:colOff>
      <xdr:row>2</xdr:row>
      <xdr:rowOff>95250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1"/>
  <sheetViews>
    <sheetView workbookViewId="0" zoomScale="100" zoomScaleNormal="100">
      <pane ySplit="4" topLeftCell="A10" activePane="bottomLeft" state="frozen"/>
      <selection pane="bottomLeft" activeCell="B13" sqref="B13"/>
    </sheetView>
  </sheetViews>
  <sheetFormatPr defaultRowHeight="15" outlineLevelRow="0" outlineLevelCol="0" x14ac:dyDescent="0.25"/>
  <cols>
    <col min="1" max="1" width="8.28515625" style="89" customWidth="1"/>
    <col min="2" max="2" width="23.28515625" style="89" customWidth="1"/>
    <col min="3" max="3" width="16.28515625" customWidth="1"/>
    <col min="4" max="4" width="17.5703125" customWidth="1"/>
    <col min="5" max="5" width="17.42578125" customWidth="1"/>
    <col min="6" max="6" width="15.28515625" customWidth="1"/>
    <col min="7" max="7" width="14.140625" customWidth="1"/>
    <col min="8" max="8" width="18.5703125" customWidth="1"/>
    <col min="9" max="9" width="57.140625" style="92" customWidth="1"/>
  </cols>
  <sheetData>
    <row r="1" ht="56.25" customHeight="1" spans="1:9" x14ac:dyDescent="0.25">
      <c r="A1" s="105" t="s">
        <v>86</v>
      </c>
      <c r="B1" s="105"/>
      <c r="C1" s="105"/>
      <c r="D1" s="105"/>
      <c r="E1" s="105"/>
      <c r="F1" s="105"/>
      <c r="G1" s="105"/>
      <c r="H1" s="105"/>
      <c r="I1" s="105"/>
    </row>
    <row r="2" ht="5.25" customHeight="1" spans="2:9" x14ac:dyDescent="0.25">
      <c r="B2" s="106"/>
      <c r="C2" s="107"/>
      <c r="D2" s="107"/>
      <c r="E2" s="107"/>
      <c r="F2" s="107"/>
      <c r="G2" s="107"/>
      <c r="H2" s="107"/>
      <c r="I2" s="108"/>
    </row>
    <row r="3" ht="18.75" customHeight="1" spans="1:9" x14ac:dyDescent="0.25">
      <c r="A3" s="109"/>
      <c r="B3" s="110"/>
      <c r="C3" s="111" t="s">
        <v>87</v>
      </c>
      <c r="D3" s="111"/>
      <c r="E3" s="112"/>
      <c r="F3" s="113"/>
      <c r="G3" s="113"/>
      <c r="H3" s="112"/>
      <c r="I3" s="114"/>
    </row>
    <row r="4" ht="45" customHeight="1" spans="1:9" x14ac:dyDescent="0.25">
      <c r="A4" s="115" t="s">
        <v>88</v>
      </c>
      <c r="B4" s="115" t="s">
        <v>89</v>
      </c>
      <c r="C4" s="111" t="s">
        <v>90</v>
      </c>
      <c r="D4" s="111" t="s">
        <v>91</v>
      </c>
      <c r="E4" s="116" t="s">
        <v>92</v>
      </c>
      <c r="F4" s="115" t="s">
        <v>93</v>
      </c>
      <c r="G4" s="115" t="s">
        <v>94</v>
      </c>
      <c r="H4" s="116" t="s">
        <v>95</v>
      </c>
      <c r="I4" s="115" t="s">
        <v>96</v>
      </c>
    </row>
    <row r="5" ht="60" customHeight="1" spans="1:9" x14ac:dyDescent="0.25">
      <c r="A5" s="117">
        <v>1</v>
      </c>
      <c r="B5" s="118" t="s">
        <v>97</v>
      </c>
      <c r="C5" s="118" t="s">
        <v>98</v>
      </c>
      <c r="D5" s="118" t="s">
        <v>99</v>
      </c>
      <c r="E5" s="118" t="s">
        <v>100</v>
      </c>
      <c r="F5" s="118" t="s">
        <v>101</v>
      </c>
      <c r="G5" s="118" t="s">
        <v>102</v>
      </c>
      <c r="H5" s="118" t="s">
        <v>103</v>
      </c>
      <c r="I5" s="119" t="s">
        <v>104</v>
      </c>
    </row>
    <row r="6" ht="30" customHeight="1" spans="1:9" x14ac:dyDescent="0.25">
      <c r="A6" s="117">
        <v>2</v>
      </c>
      <c r="B6" s="118" t="s">
        <v>105</v>
      </c>
      <c r="C6" s="118" t="s">
        <v>103</v>
      </c>
      <c r="D6" s="118" t="s">
        <v>106</v>
      </c>
      <c r="E6" s="118" t="s">
        <v>100</v>
      </c>
      <c r="F6" s="118" t="s">
        <v>101</v>
      </c>
      <c r="G6" s="118" t="s">
        <v>102</v>
      </c>
      <c r="H6" s="118" t="s">
        <v>103</v>
      </c>
      <c r="I6" s="119" t="s">
        <v>107</v>
      </c>
    </row>
    <row r="7" ht="45" customHeight="1" spans="1:9" x14ac:dyDescent="0.25">
      <c r="A7" s="117">
        <v>3</v>
      </c>
      <c r="B7" s="118" t="s">
        <v>108</v>
      </c>
      <c r="C7" s="118" t="s">
        <v>109</v>
      </c>
      <c r="D7" s="118" t="s">
        <v>103</v>
      </c>
      <c r="E7" s="118" t="s">
        <v>100</v>
      </c>
      <c r="F7" s="118" t="s">
        <v>110</v>
      </c>
      <c r="G7" s="118" t="s">
        <v>111</v>
      </c>
      <c r="H7" s="118" t="s">
        <v>112</v>
      </c>
      <c r="I7" s="119"/>
    </row>
    <row r="8" spans="1:9" x14ac:dyDescent="0.25">
      <c r="A8" s="117">
        <v>4</v>
      </c>
      <c r="B8" s="118" t="s">
        <v>113</v>
      </c>
      <c r="C8" s="118" t="s">
        <v>114</v>
      </c>
      <c r="D8" s="118" t="s">
        <v>106</v>
      </c>
      <c r="E8" s="118" t="s">
        <v>100</v>
      </c>
      <c r="F8" s="118" t="s">
        <v>101</v>
      </c>
      <c r="G8" s="118" t="s">
        <v>102</v>
      </c>
      <c r="H8" s="118" t="s">
        <v>103</v>
      </c>
      <c r="I8" s="119"/>
    </row>
    <row r="9" ht="30" customHeight="1" spans="1:9" x14ac:dyDescent="0.25">
      <c r="A9" s="117">
        <v>5</v>
      </c>
      <c r="B9" s="118" t="s">
        <v>115</v>
      </c>
      <c r="C9" s="118" t="s">
        <v>116</v>
      </c>
      <c r="D9" s="118" t="s">
        <v>99</v>
      </c>
      <c r="E9" s="118" t="s">
        <v>100</v>
      </c>
      <c r="F9" s="118" t="s">
        <v>101</v>
      </c>
      <c r="G9" s="118" t="s">
        <v>102</v>
      </c>
      <c r="H9" s="118" t="s">
        <v>103</v>
      </c>
      <c r="I9" s="119" t="s">
        <v>117</v>
      </c>
    </row>
    <row r="10" ht="45" customHeight="1" spans="1:9" x14ac:dyDescent="0.25">
      <c r="A10" s="117">
        <v>6</v>
      </c>
      <c r="B10" s="118" t="s">
        <v>118</v>
      </c>
      <c r="C10" s="118" t="s">
        <v>99</v>
      </c>
      <c r="D10" s="118" t="s">
        <v>103</v>
      </c>
      <c r="E10" s="118" t="s">
        <v>100</v>
      </c>
      <c r="F10" s="118" t="s">
        <v>101</v>
      </c>
      <c r="G10" s="118" t="s">
        <v>102</v>
      </c>
      <c r="H10" s="118" t="s">
        <v>112</v>
      </c>
      <c r="I10" s="119" t="s">
        <v>119</v>
      </c>
    </row>
    <row r="11" ht="30" customHeight="1" spans="1:9" x14ac:dyDescent="0.25">
      <c r="A11" s="117">
        <v>7</v>
      </c>
      <c r="B11" s="118" t="s">
        <v>120</v>
      </c>
      <c r="C11" s="118" t="s">
        <v>114</v>
      </c>
      <c r="D11" s="118" t="s">
        <v>111</v>
      </c>
      <c r="E11" s="118" t="s">
        <v>100</v>
      </c>
      <c r="F11" s="118" t="s">
        <v>101</v>
      </c>
      <c r="G11" s="118" t="s">
        <v>111</v>
      </c>
      <c r="H11" s="118" t="s">
        <v>112</v>
      </c>
      <c r="I11" s="119"/>
    </row>
    <row r="12" ht="30" customHeight="1" spans="1:9" x14ac:dyDescent="0.25">
      <c r="A12" s="117">
        <v>8</v>
      </c>
      <c r="B12" s="118" t="s">
        <v>121</v>
      </c>
      <c r="C12" s="118" t="s">
        <v>122</v>
      </c>
      <c r="D12" s="118" t="s">
        <v>123</v>
      </c>
      <c r="E12" s="118" t="s">
        <v>100</v>
      </c>
      <c r="F12" s="118" t="s">
        <v>101</v>
      </c>
      <c r="G12" s="118" t="s">
        <v>102</v>
      </c>
      <c r="H12" s="118" t="s">
        <v>103</v>
      </c>
      <c r="I12" s="119"/>
    </row>
    <row r="13" ht="45" customHeight="1" spans="1:9" x14ac:dyDescent="0.25">
      <c r="A13" s="117">
        <v>9</v>
      </c>
      <c r="B13" s="118" t="s">
        <v>124</v>
      </c>
      <c r="C13" s="118" t="s">
        <v>125</v>
      </c>
      <c r="D13" s="118" t="s">
        <v>99</v>
      </c>
      <c r="E13" s="118" t="s">
        <v>100</v>
      </c>
      <c r="F13" s="118" t="s">
        <v>101</v>
      </c>
      <c r="G13" s="118" t="s">
        <v>102</v>
      </c>
      <c r="H13" s="118" t="s">
        <v>103</v>
      </c>
      <c r="I13" s="119"/>
    </row>
    <row r="14" ht="30" customHeight="1" spans="1:9" x14ac:dyDescent="0.25">
      <c r="A14" s="117">
        <v>10</v>
      </c>
      <c r="B14" s="118" t="s">
        <v>126</v>
      </c>
      <c r="C14" s="118" t="s">
        <v>114</v>
      </c>
      <c r="D14" s="118" t="s">
        <v>111</v>
      </c>
      <c r="E14" s="118" t="s">
        <v>100</v>
      </c>
      <c r="F14" s="118" t="s">
        <v>101</v>
      </c>
      <c r="G14" s="118" t="s">
        <v>102</v>
      </c>
      <c r="H14" s="118" t="s">
        <v>112</v>
      </c>
      <c r="I14" s="119"/>
    </row>
    <row r="15" ht="45" customHeight="1" spans="1:9" x14ac:dyDescent="0.25">
      <c r="A15" s="117">
        <v>11</v>
      </c>
      <c r="B15" s="118" t="s">
        <v>127</v>
      </c>
      <c r="C15" s="118" t="s">
        <v>128</v>
      </c>
      <c r="D15" s="118" t="s">
        <v>111</v>
      </c>
      <c r="E15" s="118" t="s">
        <v>100</v>
      </c>
      <c r="F15" s="118" t="s">
        <v>101</v>
      </c>
      <c r="G15" s="118" t="s">
        <v>102</v>
      </c>
      <c r="H15" s="118" t="s">
        <v>112</v>
      </c>
      <c r="I15" s="119" t="s">
        <v>129</v>
      </c>
    </row>
    <row r="16" ht="30" customHeight="1" spans="1:9" x14ac:dyDescent="0.25">
      <c r="A16" s="117">
        <v>12</v>
      </c>
      <c r="B16" s="118" t="s">
        <v>130</v>
      </c>
      <c r="C16" s="118" t="s">
        <v>109</v>
      </c>
      <c r="D16" s="118" t="s">
        <v>103</v>
      </c>
      <c r="E16" s="118" t="s">
        <v>100</v>
      </c>
      <c r="F16" s="118" t="s">
        <v>101</v>
      </c>
      <c r="G16" s="118" t="s">
        <v>102</v>
      </c>
      <c r="H16" s="118" t="s">
        <v>103</v>
      </c>
      <c r="I16" s="119" t="s">
        <v>131</v>
      </c>
    </row>
    <row r="17" ht="45" customHeight="1" spans="1:9" x14ac:dyDescent="0.25">
      <c r="A17" s="117">
        <v>13</v>
      </c>
      <c r="B17" s="118" t="s">
        <v>132</v>
      </c>
      <c r="C17" s="118" t="s">
        <v>109</v>
      </c>
      <c r="D17" s="118" t="s">
        <v>103</v>
      </c>
      <c r="E17" s="118" t="s">
        <v>100</v>
      </c>
      <c r="F17" s="118" t="s">
        <v>101</v>
      </c>
      <c r="G17" s="118" t="s">
        <v>102</v>
      </c>
      <c r="H17" s="118" t="s">
        <v>103</v>
      </c>
      <c r="I17" s="119" t="s">
        <v>133</v>
      </c>
    </row>
    <row r="18" ht="45" customHeight="1" spans="1:9" x14ac:dyDescent="0.25">
      <c r="A18" s="117">
        <v>14</v>
      </c>
      <c r="B18" s="118" t="s">
        <v>134</v>
      </c>
      <c r="C18" s="118" t="s">
        <v>109</v>
      </c>
      <c r="D18" s="118" t="s">
        <v>103</v>
      </c>
      <c r="E18" s="118" t="s">
        <v>100</v>
      </c>
      <c r="F18" s="118" t="s">
        <v>101</v>
      </c>
      <c r="G18" s="118" t="s">
        <v>102</v>
      </c>
      <c r="H18" s="118" t="s">
        <v>103</v>
      </c>
      <c r="I18" s="119" t="s">
        <v>135</v>
      </c>
    </row>
    <row r="19" ht="30" customHeight="1" spans="1:9" x14ac:dyDescent="0.25">
      <c r="A19" s="117">
        <v>15</v>
      </c>
      <c r="B19" s="118" t="s">
        <v>136</v>
      </c>
      <c r="C19" s="118" t="s">
        <v>109</v>
      </c>
      <c r="D19" s="118" t="s">
        <v>103</v>
      </c>
      <c r="E19" s="118" t="s">
        <v>100</v>
      </c>
      <c r="F19" s="118" t="s">
        <v>101</v>
      </c>
      <c r="G19" s="118" t="s">
        <v>102</v>
      </c>
      <c r="H19" s="118" t="s">
        <v>103</v>
      </c>
      <c r="I19" s="119" t="s">
        <v>137</v>
      </c>
    </row>
    <row r="20" ht="60" customHeight="1" spans="1:9" x14ac:dyDescent="0.25">
      <c r="A20" s="117">
        <v>16</v>
      </c>
      <c r="B20" s="118" t="s">
        <v>138</v>
      </c>
      <c r="C20" s="118" t="s">
        <v>139</v>
      </c>
      <c r="D20" s="118" t="s">
        <v>140</v>
      </c>
      <c r="E20" s="118" t="s">
        <v>100</v>
      </c>
      <c r="F20" s="118" t="s">
        <v>110</v>
      </c>
      <c r="G20" s="118" t="s">
        <v>102</v>
      </c>
      <c r="H20" s="118" t="s">
        <v>103</v>
      </c>
      <c r="I20" s="119" t="s">
        <v>141</v>
      </c>
    </row>
    <row r="21" ht="45" customHeight="1" spans="1:9" x14ac:dyDescent="0.25">
      <c r="A21" s="117">
        <v>17</v>
      </c>
      <c r="B21" s="118" t="s">
        <v>142</v>
      </c>
      <c r="C21" s="118" t="s">
        <v>103</v>
      </c>
      <c r="D21" s="118" t="s">
        <v>99</v>
      </c>
      <c r="E21" s="118" t="s">
        <v>100</v>
      </c>
      <c r="F21" s="118" t="s">
        <v>101</v>
      </c>
      <c r="G21" s="118" t="s">
        <v>102</v>
      </c>
      <c r="H21" s="118" t="s">
        <v>112</v>
      </c>
      <c r="I21" s="119" t="s">
        <v>143</v>
      </c>
    </row>
    <row r="22" ht="90" customHeight="1" spans="1:9" x14ac:dyDescent="0.25">
      <c r="A22" s="117">
        <v>18</v>
      </c>
      <c r="B22" s="118" t="s">
        <v>144</v>
      </c>
      <c r="C22" s="118" t="s">
        <v>145</v>
      </c>
      <c r="D22" s="118" t="s">
        <v>146</v>
      </c>
      <c r="E22" s="118" t="s">
        <v>100</v>
      </c>
      <c r="F22" s="118" t="s">
        <v>110</v>
      </c>
      <c r="G22" s="118" t="s">
        <v>111</v>
      </c>
      <c r="H22" s="118" t="s">
        <v>112</v>
      </c>
      <c r="I22" s="119" t="s">
        <v>147</v>
      </c>
    </row>
    <row r="23" ht="105" customHeight="1" spans="1:9" x14ac:dyDescent="0.25">
      <c r="A23" s="117">
        <v>19</v>
      </c>
      <c r="B23" s="118" t="s">
        <v>148</v>
      </c>
      <c r="C23" s="118" t="s">
        <v>149</v>
      </c>
      <c r="D23" s="118" t="s">
        <v>106</v>
      </c>
      <c r="E23" s="118" t="s">
        <v>100</v>
      </c>
      <c r="F23" s="118" t="s">
        <v>101</v>
      </c>
      <c r="G23" s="118" t="s">
        <v>102</v>
      </c>
      <c r="H23" s="118" t="s">
        <v>112</v>
      </c>
      <c r="I23" s="119" t="s">
        <v>150</v>
      </c>
    </row>
    <row r="24" ht="120" customHeight="1" spans="1:9" x14ac:dyDescent="0.25">
      <c r="A24" s="117">
        <v>20</v>
      </c>
      <c r="B24" s="118" t="s">
        <v>151</v>
      </c>
      <c r="C24" s="118" t="s">
        <v>152</v>
      </c>
      <c r="D24" s="118" t="s">
        <v>103</v>
      </c>
      <c r="E24" s="118" t="s">
        <v>100</v>
      </c>
      <c r="F24" s="118" t="s">
        <v>110</v>
      </c>
      <c r="G24" s="118" t="s">
        <v>111</v>
      </c>
      <c r="H24" s="118" t="s">
        <v>112</v>
      </c>
      <c r="I24" s="119" t="s">
        <v>153</v>
      </c>
    </row>
    <row r="25" ht="45" customHeight="1" spans="1:9" x14ac:dyDescent="0.25">
      <c r="A25" s="117">
        <v>21</v>
      </c>
      <c r="B25" s="118" t="s">
        <v>154</v>
      </c>
      <c r="C25" s="118" t="s">
        <v>125</v>
      </c>
      <c r="D25" s="118" t="s">
        <v>99</v>
      </c>
      <c r="E25" s="118" t="s">
        <v>100</v>
      </c>
      <c r="F25" s="118" t="s">
        <v>101</v>
      </c>
      <c r="G25" s="118" t="s">
        <v>102</v>
      </c>
      <c r="H25" s="118" t="s">
        <v>112</v>
      </c>
      <c r="I25" s="119" t="s">
        <v>155</v>
      </c>
    </row>
    <row r="26" ht="60" customHeight="1" spans="1:9" x14ac:dyDescent="0.25">
      <c r="A26" s="117">
        <v>22</v>
      </c>
      <c r="B26" s="118" t="s">
        <v>156</v>
      </c>
      <c r="C26" s="118" t="s">
        <v>125</v>
      </c>
      <c r="D26" s="118" t="s">
        <v>111</v>
      </c>
      <c r="E26" s="118" t="s">
        <v>100</v>
      </c>
      <c r="F26" s="118" t="s">
        <v>101</v>
      </c>
      <c r="G26" s="118" t="s">
        <v>111</v>
      </c>
      <c r="H26" s="118" t="s">
        <v>112</v>
      </c>
      <c r="I26" s="119" t="s">
        <v>157</v>
      </c>
    </row>
    <row r="27" ht="60" customHeight="1" spans="1:9" x14ac:dyDescent="0.25">
      <c r="A27" s="117">
        <v>23</v>
      </c>
      <c r="B27" s="118" t="s">
        <v>158</v>
      </c>
      <c r="C27" s="118" t="s">
        <v>159</v>
      </c>
      <c r="D27" s="118" t="s">
        <v>103</v>
      </c>
      <c r="E27" s="118" t="s">
        <v>100</v>
      </c>
      <c r="F27" s="118" t="s">
        <v>101</v>
      </c>
      <c r="G27" s="118" t="s">
        <v>102</v>
      </c>
      <c r="H27" s="118" t="s">
        <v>103</v>
      </c>
      <c r="I27" s="119"/>
    </row>
    <row r="28" ht="75" customHeight="1" spans="1:9" x14ac:dyDescent="0.25">
      <c r="A28" s="117">
        <v>24</v>
      </c>
      <c r="B28" s="118" t="s">
        <v>160</v>
      </c>
      <c r="C28" s="118" t="s">
        <v>161</v>
      </c>
      <c r="D28" s="118" t="s">
        <v>111</v>
      </c>
      <c r="E28" s="118" t="s">
        <v>100</v>
      </c>
      <c r="F28" s="118" t="s">
        <v>112</v>
      </c>
      <c r="G28" s="118" t="s">
        <v>111</v>
      </c>
      <c r="H28" s="118" t="s">
        <v>112</v>
      </c>
      <c r="I28" s="119" t="s">
        <v>162</v>
      </c>
    </row>
    <row r="29" ht="120" customHeight="1" spans="1:9" x14ac:dyDescent="0.25">
      <c r="A29" s="117">
        <v>25</v>
      </c>
      <c r="B29" s="118" t="s">
        <v>163</v>
      </c>
      <c r="C29" s="118" t="s">
        <v>164</v>
      </c>
      <c r="D29" s="118" t="s">
        <v>111</v>
      </c>
      <c r="E29" s="118" t="s">
        <v>100</v>
      </c>
      <c r="F29" s="118" t="s">
        <v>110</v>
      </c>
      <c r="G29" s="118" t="s">
        <v>111</v>
      </c>
      <c r="H29" s="118" t="s">
        <v>112</v>
      </c>
      <c r="I29" s="119" t="s">
        <v>165</v>
      </c>
    </row>
    <row r="30" ht="120" customHeight="1" spans="1:9" x14ac:dyDescent="0.25">
      <c r="A30" s="117">
        <v>26</v>
      </c>
      <c r="B30" s="118" t="s">
        <v>166</v>
      </c>
      <c r="C30" s="118" t="s">
        <v>164</v>
      </c>
      <c r="D30" s="118" t="s">
        <v>111</v>
      </c>
      <c r="E30" s="118" t="s">
        <v>100</v>
      </c>
      <c r="F30" s="118" t="s">
        <v>110</v>
      </c>
      <c r="G30" s="118" t="s">
        <v>111</v>
      </c>
      <c r="H30" s="118" t="s">
        <v>112</v>
      </c>
      <c r="I30" s="119" t="s">
        <v>165</v>
      </c>
    </row>
    <row r="31" ht="45" customHeight="1" spans="1:9" x14ac:dyDescent="0.25">
      <c r="A31" s="117">
        <v>27</v>
      </c>
      <c r="B31" s="118" t="s">
        <v>167</v>
      </c>
      <c r="C31" s="118" t="s">
        <v>125</v>
      </c>
      <c r="D31" s="118" t="s">
        <v>99</v>
      </c>
      <c r="E31" s="118" t="s">
        <v>100</v>
      </c>
      <c r="F31" s="118" t="s">
        <v>110</v>
      </c>
      <c r="G31" s="118" t="s">
        <v>111</v>
      </c>
      <c r="H31" s="118" t="s">
        <v>112</v>
      </c>
      <c r="I31" s="119" t="s">
        <v>168</v>
      </c>
    </row>
    <row r="32" spans="1:9" x14ac:dyDescent="0.25">
      <c r="A32" s="117">
        <v>28</v>
      </c>
      <c r="B32" s="118" t="s">
        <v>169</v>
      </c>
      <c r="C32" s="118" t="s">
        <v>125</v>
      </c>
      <c r="D32" s="118" t="s">
        <v>99</v>
      </c>
      <c r="E32" s="118" t="s">
        <v>100</v>
      </c>
      <c r="F32" s="118" t="s">
        <v>101</v>
      </c>
      <c r="G32" s="118" t="s">
        <v>102</v>
      </c>
      <c r="H32" s="118" t="s">
        <v>103</v>
      </c>
      <c r="I32" s="119"/>
    </row>
    <row r="33" ht="30" customHeight="1" spans="1:9" x14ac:dyDescent="0.25">
      <c r="A33" s="117">
        <v>29</v>
      </c>
      <c r="B33" s="118" t="s">
        <v>170</v>
      </c>
      <c r="C33" s="118" t="s">
        <v>171</v>
      </c>
      <c r="D33" s="118" t="s">
        <v>140</v>
      </c>
      <c r="E33" s="118" t="s">
        <v>100</v>
      </c>
      <c r="F33" s="118" t="s">
        <v>101</v>
      </c>
      <c r="G33" s="118" t="s">
        <v>102</v>
      </c>
      <c r="H33" s="118" t="s">
        <v>112</v>
      </c>
      <c r="I33" s="119"/>
    </row>
    <row r="34" ht="60" customHeight="1" spans="1:9" x14ac:dyDescent="0.25">
      <c r="A34" s="117">
        <v>30</v>
      </c>
      <c r="B34" s="118" t="s">
        <v>172</v>
      </c>
      <c r="C34" s="118" t="s">
        <v>173</v>
      </c>
      <c r="D34" s="118" t="s">
        <v>123</v>
      </c>
      <c r="E34" s="118" t="s">
        <v>100</v>
      </c>
      <c r="F34" s="118" t="s">
        <v>101</v>
      </c>
      <c r="G34" s="118" t="s">
        <v>102</v>
      </c>
      <c r="H34" s="118" t="s">
        <v>103</v>
      </c>
      <c r="I34" s="119" t="s">
        <v>174</v>
      </c>
    </row>
    <row r="35" ht="30" customHeight="1" spans="1:9" x14ac:dyDescent="0.25">
      <c r="A35" s="117">
        <v>31</v>
      </c>
      <c r="B35" s="118" t="s">
        <v>175</v>
      </c>
      <c r="C35" s="118" t="s">
        <v>114</v>
      </c>
      <c r="D35" s="118" t="s">
        <v>99</v>
      </c>
      <c r="E35" s="118" t="s">
        <v>100</v>
      </c>
      <c r="F35" s="118" t="s">
        <v>101</v>
      </c>
      <c r="G35" s="118" t="s">
        <v>102</v>
      </c>
      <c r="H35" s="118" t="s">
        <v>103</v>
      </c>
      <c r="I35" s="119" t="s">
        <v>176</v>
      </c>
    </row>
    <row r="36" ht="30" customHeight="1" spans="1:9" x14ac:dyDescent="0.25">
      <c r="A36" s="117">
        <v>32</v>
      </c>
      <c r="B36" s="118" t="s">
        <v>177</v>
      </c>
      <c r="C36" s="118" t="s">
        <v>114</v>
      </c>
      <c r="D36" s="118" t="s">
        <v>99</v>
      </c>
      <c r="E36" s="118" t="s">
        <v>100</v>
      </c>
      <c r="F36" s="118" t="s">
        <v>101</v>
      </c>
      <c r="G36" s="118" t="s">
        <v>102</v>
      </c>
      <c r="H36" s="118" t="s">
        <v>103</v>
      </c>
      <c r="I36" s="119" t="s">
        <v>176</v>
      </c>
    </row>
    <row r="37" ht="30" customHeight="1" spans="1:9" x14ac:dyDescent="0.25">
      <c r="A37" s="117">
        <v>33</v>
      </c>
      <c r="B37" s="118" t="s">
        <v>178</v>
      </c>
      <c r="C37" s="118" t="s">
        <v>109</v>
      </c>
      <c r="D37" s="118" t="s">
        <v>111</v>
      </c>
      <c r="E37" s="118" t="s">
        <v>100</v>
      </c>
      <c r="F37" s="118" t="s">
        <v>101</v>
      </c>
      <c r="G37" s="118" t="s">
        <v>111</v>
      </c>
      <c r="H37" s="118" t="s">
        <v>112</v>
      </c>
      <c r="I37" s="119"/>
    </row>
    <row r="38" ht="45" customHeight="1" spans="1:9" x14ac:dyDescent="0.25">
      <c r="A38" s="117">
        <v>34</v>
      </c>
      <c r="B38" s="118" t="s">
        <v>179</v>
      </c>
      <c r="C38" s="118" t="s">
        <v>139</v>
      </c>
      <c r="D38" s="118" t="s">
        <v>140</v>
      </c>
      <c r="E38" s="118" t="s">
        <v>100</v>
      </c>
      <c r="F38" s="118" t="s">
        <v>110</v>
      </c>
      <c r="G38" s="118" t="s">
        <v>102</v>
      </c>
      <c r="H38" s="118" t="s">
        <v>103</v>
      </c>
      <c r="I38" s="119" t="s">
        <v>180</v>
      </c>
    </row>
    <row r="39" ht="45" customHeight="1" spans="1:9" x14ac:dyDescent="0.25">
      <c r="A39" s="117">
        <v>35</v>
      </c>
      <c r="B39" s="118" t="s">
        <v>181</v>
      </c>
      <c r="C39" s="118" t="s">
        <v>182</v>
      </c>
      <c r="D39" s="118" t="s">
        <v>111</v>
      </c>
      <c r="E39" s="118" t="s">
        <v>100</v>
      </c>
      <c r="F39" s="118" t="s">
        <v>101</v>
      </c>
      <c r="G39" s="118" t="s">
        <v>111</v>
      </c>
      <c r="H39" s="118" t="s">
        <v>112</v>
      </c>
      <c r="I39" s="119" t="s">
        <v>183</v>
      </c>
    </row>
    <row r="40" ht="60" customHeight="1" spans="1:9" x14ac:dyDescent="0.25">
      <c r="A40" s="117">
        <v>36</v>
      </c>
      <c r="B40" s="118" t="s">
        <v>184</v>
      </c>
      <c r="C40" s="118" t="s">
        <v>182</v>
      </c>
      <c r="D40" s="118" t="s">
        <v>140</v>
      </c>
      <c r="E40" s="118" t="s">
        <v>100</v>
      </c>
      <c r="F40" s="118"/>
      <c r="G40" s="118"/>
      <c r="H40" s="118"/>
      <c r="I40" s="119" t="s">
        <v>185</v>
      </c>
    </row>
    <row r="41" ht="45" customHeight="1" spans="1:9" x14ac:dyDescent="0.25">
      <c r="A41" s="117">
        <v>37</v>
      </c>
      <c r="B41" s="118" t="s">
        <v>186</v>
      </c>
      <c r="C41" s="118" t="s">
        <v>187</v>
      </c>
      <c r="D41" s="118" t="s">
        <v>99</v>
      </c>
      <c r="E41" s="118" t="s">
        <v>100</v>
      </c>
      <c r="F41" s="118" t="s">
        <v>101</v>
      </c>
      <c r="G41" s="118" t="s">
        <v>111</v>
      </c>
      <c r="H41" s="118" t="s">
        <v>112</v>
      </c>
      <c r="I41" s="119" t="s">
        <v>188</v>
      </c>
    </row>
    <row r="42" ht="60" customHeight="1" spans="1:9" x14ac:dyDescent="0.25">
      <c r="A42" s="117">
        <v>38</v>
      </c>
      <c r="B42" s="118" t="s">
        <v>189</v>
      </c>
      <c r="C42" s="118" t="s">
        <v>125</v>
      </c>
      <c r="D42" s="118" t="s">
        <v>111</v>
      </c>
      <c r="E42" s="118" t="s">
        <v>100</v>
      </c>
      <c r="F42" s="118" t="s">
        <v>110</v>
      </c>
      <c r="G42" s="118" t="s">
        <v>111</v>
      </c>
      <c r="H42" s="118" t="s">
        <v>112</v>
      </c>
      <c r="I42" s="119" t="s">
        <v>190</v>
      </c>
    </row>
    <row r="43" ht="90" customHeight="1" spans="1:9" x14ac:dyDescent="0.25">
      <c r="A43" s="117">
        <v>39</v>
      </c>
      <c r="B43" s="118" t="s">
        <v>191</v>
      </c>
      <c r="C43" s="118" t="s">
        <v>103</v>
      </c>
      <c r="D43" s="118" t="s">
        <v>106</v>
      </c>
      <c r="E43" s="118" t="s">
        <v>100</v>
      </c>
      <c r="F43" s="118" t="s">
        <v>101</v>
      </c>
      <c r="G43" s="118" t="s">
        <v>102</v>
      </c>
      <c r="H43" s="118" t="s">
        <v>112</v>
      </c>
      <c r="I43" s="119" t="s">
        <v>192</v>
      </c>
    </row>
    <row r="44" ht="60" customHeight="1" spans="1:9" x14ac:dyDescent="0.25">
      <c r="A44" s="117">
        <v>40</v>
      </c>
      <c r="B44" s="118" t="s">
        <v>193</v>
      </c>
      <c r="C44" s="118" t="s">
        <v>114</v>
      </c>
      <c r="D44" s="118" t="s">
        <v>99</v>
      </c>
      <c r="E44" s="118" t="s">
        <v>100</v>
      </c>
      <c r="F44" s="118" t="s">
        <v>101</v>
      </c>
      <c r="G44" s="118" t="s">
        <v>102</v>
      </c>
      <c r="H44" s="118" t="s">
        <v>103</v>
      </c>
      <c r="I44" s="119" t="s">
        <v>194</v>
      </c>
    </row>
    <row r="45" ht="135" customHeight="1" spans="1:9" x14ac:dyDescent="0.25">
      <c r="A45" s="117">
        <v>41</v>
      </c>
      <c r="B45" s="118" t="s">
        <v>195</v>
      </c>
      <c r="C45" s="118" t="s">
        <v>196</v>
      </c>
      <c r="D45" s="118" t="s">
        <v>99</v>
      </c>
      <c r="E45" s="118" t="s">
        <v>100</v>
      </c>
      <c r="F45" s="118" t="s">
        <v>101</v>
      </c>
      <c r="G45" s="118" t="s">
        <v>102</v>
      </c>
      <c r="H45" s="118" t="s">
        <v>112</v>
      </c>
      <c r="I45" s="119" t="s">
        <v>197</v>
      </c>
    </row>
    <row r="46" ht="45" customHeight="1" spans="1:9" x14ac:dyDescent="0.25">
      <c r="A46" s="117">
        <v>42</v>
      </c>
      <c r="B46" s="118" t="s">
        <v>198</v>
      </c>
      <c r="C46" s="118" t="s">
        <v>199</v>
      </c>
      <c r="D46" s="118" t="s">
        <v>111</v>
      </c>
      <c r="E46" s="118" t="s">
        <v>100</v>
      </c>
      <c r="F46" s="118" t="s">
        <v>110</v>
      </c>
      <c r="G46" s="118" t="s">
        <v>111</v>
      </c>
      <c r="H46" s="118" t="s">
        <v>112</v>
      </c>
      <c r="I46" s="119" t="s">
        <v>157</v>
      </c>
    </row>
    <row r="47" ht="120" customHeight="1" spans="1:9" x14ac:dyDescent="0.25">
      <c r="A47" s="117">
        <v>43</v>
      </c>
      <c r="B47" s="118" t="s">
        <v>200</v>
      </c>
      <c r="C47" s="118" t="s">
        <v>201</v>
      </c>
      <c r="D47" s="118" t="s">
        <v>111</v>
      </c>
      <c r="E47" s="118" t="s">
        <v>100</v>
      </c>
      <c r="F47" s="118" t="s">
        <v>110</v>
      </c>
      <c r="G47" s="118" t="s">
        <v>111</v>
      </c>
      <c r="H47" s="118" t="s">
        <v>112</v>
      </c>
      <c r="I47" s="119" t="s">
        <v>202</v>
      </c>
    </row>
    <row r="48" ht="120" customHeight="1" spans="1:9" x14ac:dyDescent="0.25">
      <c r="A48" s="117">
        <v>44</v>
      </c>
      <c r="B48" s="118" t="s">
        <v>203</v>
      </c>
      <c r="C48" s="118" t="s">
        <v>201</v>
      </c>
      <c r="D48" s="118" t="s">
        <v>111</v>
      </c>
      <c r="E48" s="118" t="s">
        <v>100</v>
      </c>
      <c r="F48" s="118" t="s">
        <v>110</v>
      </c>
      <c r="G48" s="118" t="s">
        <v>111</v>
      </c>
      <c r="H48" s="118" t="s">
        <v>112</v>
      </c>
      <c r="I48" s="119" t="s">
        <v>204</v>
      </c>
    </row>
    <row r="49" ht="30" customHeight="1" spans="1:9" x14ac:dyDescent="0.25">
      <c r="A49" s="117">
        <v>45</v>
      </c>
      <c r="B49" s="118" t="s">
        <v>205</v>
      </c>
      <c r="C49" s="118" t="s">
        <v>125</v>
      </c>
      <c r="D49" s="118" t="s">
        <v>99</v>
      </c>
      <c r="E49" s="118" t="s">
        <v>100</v>
      </c>
      <c r="F49" s="118" t="s">
        <v>101</v>
      </c>
      <c r="G49" s="118" t="s">
        <v>102</v>
      </c>
      <c r="H49" s="118" t="s">
        <v>103</v>
      </c>
      <c r="I49" s="119"/>
    </row>
    <row r="50" ht="30" customHeight="1" spans="1:9" x14ac:dyDescent="0.25">
      <c r="A50" s="117">
        <v>46</v>
      </c>
      <c r="B50" s="118" t="s">
        <v>206</v>
      </c>
      <c r="C50" s="118" t="s">
        <v>109</v>
      </c>
      <c r="D50" s="118" t="s">
        <v>103</v>
      </c>
      <c r="E50" s="118" t="s">
        <v>100</v>
      </c>
      <c r="F50" s="118" t="s">
        <v>101</v>
      </c>
      <c r="G50" s="118" t="s">
        <v>102</v>
      </c>
      <c r="H50" s="118" t="s">
        <v>207</v>
      </c>
      <c r="I50" s="119" t="s">
        <v>208</v>
      </c>
    </row>
    <row r="51" ht="45" customHeight="1" spans="1:9" x14ac:dyDescent="0.25">
      <c r="A51" s="117">
        <v>47</v>
      </c>
      <c r="B51" s="118" t="s">
        <v>209</v>
      </c>
      <c r="C51" s="118" t="s">
        <v>109</v>
      </c>
      <c r="D51" s="118" t="s">
        <v>103</v>
      </c>
      <c r="E51" s="118" t="s">
        <v>100</v>
      </c>
      <c r="F51" s="118" t="s">
        <v>101</v>
      </c>
      <c r="G51" s="118" t="s">
        <v>102</v>
      </c>
      <c r="H51" s="118" t="s">
        <v>207</v>
      </c>
      <c r="I51" s="119" t="s">
        <v>210</v>
      </c>
    </row>
    <row r="52" ht="60" customHeight="1" spans="1:9" x14ac:dyDescent="0.25">
      <c r="A52" s="117">
        <v>48</v>
      </c>
      <c r="B52" s="118" t="s">
        <v>211</v>
      </c>
      <c r="C52" s="118" t="s">
        <v>109</v>
      </c>
      <c r="D52" s="118" t="s">
        <v>111</v>
      </c>
      <c r="E52" s="118" t="s">
        <v>100</v>
      </c>
      <c r="F52" s="118" t="s">
        <v>101</v>
      </c>
      <c r="G52" s="118" t="s">
        <v>111</v>
      </c>
      <c r="H52" s="118" t="s">
        <v>112</v>
      </c>
      <c r="I52" s="119" t="s">
        <v>212</v>
      </c>
    </row>
    <row r="53" ht="45" customHeight="1" spans="1:9" x14ac:dyDescent="0.25">
      <c r="A53" s="117">
        <v>49</v>
      </c>
      <c r="B53" s="118" t="s">
        <v>213</v>
      </c>
      <c r="C53" s="118" t="s">
        <v>116</v>
      </c>
      <c r="D53" s="118" t="s">
        <v>99</v>
      </c>
      <c r="E53" s="118" t="s">
        <v>100</v>
      </c>
      <c r="F53" s="118" t="s">
        <v>101</v>
      </c>
      <c r="G53" s="118" t="s">
        <v>102</v>
      </c>
      <c r="H53" s="118" t="s">
        <v>112</v>
      </c>
      <c r="I53" s="119" t="s">
        <v>214</v>
      </c>
    </row>
    <row r="54" ht="75" customHeight="1" spans="1:9" x14ac:dyDescent="0.25">
      <c r="A54" s="117">
        <v>50</v>
      </c>
      <c r="B54" s="118" t="s">
        <v>215</v>
      </c>
      <c r="C54" s="118" t="s">
        <v>109</v>
      </c>
      <c r="D54" s="118" t="s">
        <v>103</v>
      </c>
      <c r="E54" s="118" t="s">
        <v>100</v>
      </c>
      <c r="F54" s="118" t="s">
        <v>101</v>
      </c>
      <c r="G54" s="118" t="s">
        <v>102</v>
      </c>
      <c r="H54" s="118" t="s">
        <v>103</v>
      </c>
      <c r="I54" s="119" t="s">
        <v>216</v>
      </c>
    </row>
    <row r="55" ht="120" customHeight="1" spans="1:9" x14ac:dyDescent="0.25">
      <c r="A55" s="117">
        <v>51</v>
      </c>
      <c r="B55" s="118" t="s">
        <v>217</v>
      </c>
      <c r="C55" s="118" t="s">
        <v>201</v>
      </c>
      <c r="D55" s="118" t="s">
        <v>111</v>
      </c>
      <c r="E55" s="118" t="s">
        <v>100</v>
      </c>
      <c r="F55" s="118" t="s">
        <v>110</v>
      </c>
      <c r="G55" s="118" t="s">
        <v>111</v>
      </c>
      <c r="H55" s="118" t="s">
        <v>112</v>
      </c>
      <c r="I55" s="119" t="s">
        <v>218</v>
      </c>
    </row>
    <row r="56" ht="120" customHeight="1" spans="1:9" x14ac:dyDescent="0.25">
      <c r="A56" s="117">
        <v>52</v>
      </c>
      <c r="B56" s="118" t="s">
        <v>219</v>
      </c>
      <c r="C56" s="118" t="s">
        <v>201</v>
      </c>
      <c r="D56" s="118" t="s">
        <v>111</v>
      </c>
      <c r="E56" s="118" t="s">
        <v>100</v>
      </c>
      <c r="F56" s="118" t="s">
        <v>110</v>
      </c>
      <c r="G56" s="118" t="s">
        <v>111</v>
      </c>
      <c r="H56" s="118" t="s">
        <v>112</v>
      </c>
      <c r="I56" s="119" t="s">
        <v>165</v>
      </c>
    </row>
    <row r="57" ht="120" customHeight="1" spans="1:9" x14ac:dyDescent="0.25">
      <c r="A57" s="117">
        <v>53</v>
      </c>
      <c r="B57" s="118" t="s">
        <v>220</v>
      </c>
      <c r="C57" s="118" t="s">
        <v>201</v>
      </c>
      <c r="D57" s="118" t="s">
        <v>111</v>
      </c>
      <c r="E57" s="118" t="s">
        <v>100</v>
      </c>
      <c r="F57" s="118" t="s">
        <v>110</v>
      </c>
      <c r="G57" s="118" t="s">
        <v>111</v>
      </c>
      <c r="H57" s="118" t="s">
        <v>112</v>
      </c>
      <c r="I57" s="119" t="s">
        <v>221</v>
      </c>
    </row>
    <row r="58" ht="60" customHeight="1" spans="1:9" x14ac:dyDescent="0.25">
      <c r="A58" s="117">
        <v>54</v>
      </c>
      <c r="B58" s="118" t="s">
        <v>222</v>
      </c>
      <c r="C58" s="118" t="s">
        <v>223</v>
      </c>
      <c r="D58" s="118" t="s">
        <v>103</v>
      </c>
      <c r="E58" s="118" t="s">
        <v>100</v>
      </c>
      <c r="F58" s="118" t="s">
        <v>101</v>
      </c>
      <c r="G58" s="118" t="s">
        <v>102</v>
      </c>
      <c r="H58" s="118" t="s">
        <v>103</v>
      </c>
      <c r="I58" s="119" t="s">
        <v>224</v>
      </c>
    </row>
    <row r="59" ht="30" customHeight="1" spans="1:9" x14ac:dyDescent="0.25">
      <c r="A59" s="117">
        <v>55</v>
      </c>
      <c r="B59" s="118" t="s">
        <v>225</v>
      </c>
      <c r="C59" s="118" t="s">
        <v>114</v>
      </c>
      <c r="D59" s="118" t="s">
        <v>103</v>
      </c>
      <c r="E59" s="118" t="s">
        <v>100</v>
      </c>
      <c r="F59" s="118" t="s">
        <v>101</v>
      </c>
      <c r="G59" s="118" t="s">
        <v>102</v>
      </c>
      <c r="H59" s="118" t="s">
        <v>103</v>
      </c>
      <c r="I59" s="119" t="s">
        <v>226</v>
      </c>
    </row>
    <row r="60" ht="45" customHeight="1" spans="1:9" x14ac:dyDescent="0.25">
      <c r="A60" s="117">
        <v>56</v>
      </c>
      <c r="B60" s="118" t="s">
        <v>227</v>
      </c>
      <c r="C60" s="118" t="s">
        <v>109</v>
      </c>
      <c r="D60" s="118" t="s">
        <v>123</v>
      </c>
      <c r="E60" s="118" t="s">
        <v>100</v>
      </c>
      <c r="F60" s="118" t="s">
        <v>110</v>
      </c>
      <c r="G60" s="118" t="s">
        <v>102</v>
      </c>
      <c r="H60" s="118" t="s">
        <v>103</v>
      </c>
      <c r="I60" s="119" t="s">
        <v>228</v>
      </c>
    </row>
    <row r="61" ht="60" customHeight="1" spans="1:9" x14ac:dyDescent="0.25">
      <c r="A61" s="117">
        <v>57</v>
      </c>
      <c r="B61" s="118" t="s">
        <v>229</v>
      </c>
      <c r="C61" s="118" t="s">
        <v>109</v>
      </c>
      <c r="D61" s="118" t="s">
        <v>146</v>
      </c>
      <c r="E61" s="118" t="s">
        <v>100</v>
      </c>
      <c r="F61" s="118" t="s">
        <v>101</v>
      </c>
      <c r="G61" s="118" t="s">
        <v>102</v>
      </c>
      <c r="H61" s="118" t="s">
        <v>103</v>
      </c>
      <c r="I61" s="119" t="s">
        <v>230</v>
      </c>
    </row>
    <row r="62" ht="120" customHeight="1" spans="1:9" x14ac:dyDescent="0.25">
      <c r="A62" s="117">
        <v>58</v>
      </c>
      <c r="B62" s="118" t="s">
        <v>231</v>
      </c>
      <c r="C62" s="118" t="s">
        <v>201</v>
      </c>
      <c r="D62" s="118" t="s">
        <v>111</v>
      </c>
      <c r="E62" s="118" t="s">
        <v>100</v>
      </c>
      <c r="F62" s="118" t="s">
        <v>110</v>
      </c>
      <c r="G62" s="118" t="s">
        <v>111</v>
      </c>
      <c r="H62" s="118" t="s">
        <v>112</v>
      </c>
      <c r="I62" s="119" t="s">
        <v>157</v>
      </c>
    </row>
    <row r="63" ht="120" customHeight="1" spans="1:9" x14ac:dyDescent="0.25">
      <c r="A63" s="117">
        <v>59</v>
      </c>
      <c r="B63" s="118" t="s">
        <v>232</v>
      </c>
      <c r="C63" s="118" t="s">
        <v>201</v>
      </c>
      <c r="D63" s="118" t="s">
        <v>111</v>
      </c>
      <c r="E63" s="118" t="s">
        <v>100</v>
      </c>
      <c r="F63" s="118" t="s">
        <v>110</v>
      </c>
      <c r="G63" s="118" t="s">
        <v>111</v>
      </c>
      <c r="H63" s="118" t="s">
        <v>112</v>
      </c>
      <c r="I63" s="119" t="s">
        <v>157</v>
      </c>
    </row>
    <row r="64" ht="30" customHeight="1" spans="1:9" x14ac:dyDescent="0.25">
      <c r="A64" s="117">
        <v>60</v>
      </c>
      <c r="B64" s="118" t="s">
        <v>233</v>
      </c>
      <c r="C64" s="118" t="s">
        <v>103</v>
      </c>
      <c r="D64" s="118" t="s">
        <v>106</v>
      </c>
      <c r="E64" s="118" t="s">
        <v>100</v>
      </c>
      <c r="F64" s="118" t="s">
        <v>101</v>
      </c>
      <c r="G64" s="118" t="s">
        <v>102</v>
      </c>
      <c r="H64" s="118" t="s">
        <v>112</v>
      </c>
      <c r="I64" s="119" t="s">
        <v>234</v>
      </c>
    </row>
    <row r="65" ht="45" customHeight="1" spans="1:9" x14ac:dyDescent="0.25">
      <c r="A65" s="117">
        <v>61</v>
      </c>
      <c r="B65" s="118" t="s">
        <v>235</v>
      </c>
      <c r="C65" s="118" t="s">
        <v>103</v>
      </c>
      <c r="D65" s="118" t="s">
        <v>106</v>
      </c>
      <c r="E65" s="118" t="s">
        <v>100</v>
      </c>
      <c r="F65" s="118" t="s">
        <v>101</v>
      </c>
      <c r="G65" s="118" t="s">
        <v>102</v>
      </c>
      <c r="H65" s="118" t="s">
        <v>112</v>
      </c>
      <c r="I65" s="119"/>
    </row>
    <row r="66" ht="45" customHeight="1" spans="1:9" x14ac:dyDescent="0.25">
      <c r="A66" s="117">
        <v>62</v>
      </c>
      <c r="B66" s="118" t="s">
        <v>236</v>
      </c>
      <c r="C66" s="118" t="s">
        <v>103</v>
      </c>
      <c r="D66" s="118" t="s">
        <v>106</v>
      </c>
      <c r="E66" s="118" t="s">
        <v>100</v>
      </c>
      <c r="F66" s="118" t="s">
        <v>101</v>
      </c>
      <c r="G66" s="118" t="s">
        <v>102</v>
      </c>
      <c r="H66" s="118" t="s">
        <v>112</v>
      </c>
      <c r="I66" s="119"/>
    </row>
    <row r="67" ht="45" customHeight="1" spans="1:9" x14ac:dyDescent="0.25">
      <c r="A67" s="117">
        <v>63</v>
      </c>
      <c r="B67" s="118" t="s">
        <v>237</v>
      </c>
      <c r="C67" s="118" t="s">
        <v>103</v>
      </c>
      <c r="D67" s="118" t="s">
        <v>106</v>
      </c>
      <c r="E67" s="118" t="s">
        <v>100</v>
      </c>
      <c r="F67" s="118" t="s">
        <v>101</v>
      </c>
      <c r="G67" s="118" t="s">
        <v>102</v>
      </c>
      <c r="H67" s="118" t="s">
        <v>112</v>
      </c>
      <c r="I67" s="119"/>
    </row>
    <row r="68" ht="30" customHeight="1" spans="1:9" x14ac:dyDescent="0.25">
      <c r="A68" s="117">
        <v>64</v>
      </c>
      <c r="B68" s="118" t="s">
        <v>238</v>
      </c>
      <c r="C68" s="118" t="s">
        <v>103</v>
      </c>
      <c r="D68" s="118" t="s">
        <v>106</v>
      </c>
      <c r="E68" s="118" t="s">
        <v>100</v>
      </c>
      <c r="F68" s="118" t="s">
        <v>101</v>
      </c>
      <c r="G68" s="118" t="s">
        <v>102</v>
      </c>
      <c r="H68" s="118" t="s">
        <v>112</v>
      </c>
      <c r="I68" s="119"/>
    </row>
    <row r="69" ht="120" customHeight="1" spans="1:9" x14ac:dyDescent="0.25">
      <c r="A69" s="117">
        <v>65</v>
      </c>
      <c r="B69" s="118" t="s">
        <v>239</v>
      </c>
      <c r="C69" s="118" t="s">
        <v>201</v>
      </c>
      <c r="D69" s="118" t="s">
        <v>111</v>
      </c>
      <c r="E69" s="118" t="s">
        <v>100</v>
      </c>
      <c r="F69" s="118" t="s">
        <v>110</v>
      </c>
      <c r="G69" s="118" t="s">
        <v>111</v>
      </c>
      <c r="H69" s="118" t="s">
        <v>112</v>
      </c>
      <c r="I69" s="119" t="s">
        <v>165</v>
      </c>
    </row>
    <row r="70" ht="45" customHeight="1" spans="1:9" x14ac:dyDescent="0.25">
      <c r="A70" s="117">
        <v>66</v>
      </c>
      <c r="B70" s="118" t="s">
        <v>240</v>
      </c>
      <c r="C70" s="118" t="s">
        <v>114</v>
      </c>
      <c r="D70" s="118" t="s">
        <v>111</v>
      </c>
      <c r="E70" s="118" t="s">
        <v>100</v>
      </c>
      <c r="F70" s="118" t="s">
        <v>101</v>
      </c>
      <c r="G70" s="118" t="s">
        <v>111</v>
      </c>
      <c r="H70" s="118" t="s">
        <v>112</v>
      </c>
      <c r="I70" s="119" t="s">
        <v>241</v>
      </c>
    </row>
    <row r="71" ht="30" customHeight="1" spans="1:9" x14ac:dyDescent="0.25">
      <c r="A71" s="117">
        <v>67</v>
      </c>
      <c r="B71" s="118" t="s">
        <v>242</v>
      </c>
      <c r="C71" s="118" t="s">
        <v>243</v>
      </c>
      <c r="D71" s="118" t="s">
        <v>99</v>
      </c>
      <c r="E71" s="118" t="s">
        <v>100</v>
      </c>
      <c r="F71" s="118" t="s">
        <v>101</v>
      </c>
      <c r="G71" s="118" t="s">
        <v>102</v>
      </c>
      <c r="H71" s="118" t="s">
        <v>112</v>
      </c>
      <c r="I71" s="119"/>
    </row>
    <row r="72" ht="75" customHeight="1" spans="1:9" x14ac:dyDescent="0.25">
      <c r="A72" s="117">
        <v>68</v>
      </c>
      <c r="B72" s="118" t="s">
        <v>244</v>
      </c>
      <c r="C72" s="118" t="s">
        <v>106</v>
      </c>
      <c r="D72" s="118" t="s">
        <v>146</v>
      </c>
      <c r="E72" s="118" t="s">
        <v>100</v>
      </c>
      <c r="F72" s="118" t="s">
        <v>101</v>
      </c>
      <c r="G72" s="118" t="s">
        <v>102</v>
      </c>
      <c r="H72" s="118" t="s">
        <v>103</v>
      </c>
      <c r="I72" s="119" t="s">
        <v>245</v>
      </c>
    </row>
    <row r="73" ht="30" customHeight="1" spans="1:9" x14ac:dyDescent="0.25">
      <c r="A73" s="117">
        <v>69</v>
      </c>
      <c r="B73" s="118" t="s">
        <v>246</v>
      </c>
      <c r="C73" s="118" t="s">
        <v>103</v>
      </c>
      <c r="D73" s="118" t="s">
        <v>247</v>
      </c>
      <c r="E73" s="118" t="s">
        <v>100</v>
      </c>
      <c r="F73" s="118"/>
      <c r="G73" s="118"/>
      <c r="H73" s="118"/>
      <c r="I73" s="119"/>
    </row>
    <row r="74" ht="60" customHeight="1" spans="1:9" x14ac:dyDescent="0.25">
      <c r="A74" s="117">
        <v>70</v>
      </c>
      <c r="B74" s="118" t="s">
        <v>248</v>
      </c>
      <c r="C74" s="118" t="s">
        <v>109</v>
      </c>
      <c r="D74" s="118" t="s">
        <v>146</v>
      </c>
      <c r="E74" s="118" t="s">
        <v>100</v>
      </c>
      <c r="F74" s="118" t="s">
        <v>110</v>
      </c>
      <c r="G74" s="118" t="s">
        <v>102</v>
      </c>
      <c r="H74" s="118" t="s">
        <v>103</v>
      </c>
      <c r="I74" s="119" t="s">
        <v>249</v>
      </c>
    </row>
    <row r="75" ht="30" customHeight="1" spans="1:9" x14ac:dyDescent="0.25">
      <c r="A75" s="117">
        <v>71</v>
      </c>
      <c r="B75" s="118" t="s">
        <v>250</v>
      </c>
      <c r="C75" s="118" t="s">
        <v>109</v>
      </c>
      <c r="D75" s="118" t="s">
        <v>146</v>
      </c>
      <c r="E75" s="118" t="s">
        <v>100</v>
      </c>
      <c r="F75" s="118" t="s">
        <v>101</v>
      </c>
      <c r="G75" s="118" t="s">
        <v>102</v>
      </c>
      <c r="H75" s="118" t="s">
        <v>103</v>
      </c>
      <c r="I75" s="119" t="s">
        <v>251</v>
      </c>
    </row>
    <row r="76" ht="90" customHeight="1" spans="1:9" x14ac:dyDescent="0.25">
      <c r="A76" s="117">
        <v>72</v>
      </c>
      <c r="B76" s="118" t="s">
        <v>252</v>
      </c>
      <c r="C76" s="118" t="s">
        <v>171</v>
      </c>
      <c r="D76" s="118" t="s">
        <v>146</v>
      </c>
      <c r="E76" s="118" t="s">
        <v>100</v>
      </c>
      <c r="F76" s="118" t="s">
        <v>110</v>
      </c>
      <c r="G76" s="118" t="s">
        <v>102</v>
      </c>
      <c r="H76" s="118" t="s">
        <v>103</v>
      </c>
      <c r="I76" s="119" t="s">
        <v>253</v>
      </c>
    </row>
    <row r="77" ht="45" customHeight="1" spans="1:9" x14ac:dyDescent="0.25">
      <c r="A77" s="117">
        <v>73</v>
      </c>
      <c r="B77" s="118" t="s">
        <v>254</v>
      </c>
      <c r="C77" s="118" t="s">
        <v>109</v>
      </c>
      <c r="D77" s="118" t="s">
        <v>146</v>
      </c>
      <c r="E77" s="118" t="s">
        <v>100</v>
      </c>
      <c r="F77" s="118" t="s">
        <v>110</v>
      </c>
      <c r="G77" s="118" t="s">
        <v>102</v>
      </c>
      <c r="H77" s="118" t="s">
        <v>103</v>
      </c>
      <c r="I77" s="119" t="s">
        <v>255</v>
      </c>
    </row>
    <row r="78" ht="60" customHeight="1" spans="1:9" x14ac:dyDescent="0.25">
      <c r="A78" s="117">
        <v>74</v>
      </c>
      <c r="B78" s="118" t="s">
        <v>256</v>
      </c>
      <c r="C78" s="118" t="s">
        <v>171</v>
      </c>
      <c r="D78" s="118" t="s">
        <v>146</v>
      </c>
      <c r="E78" s="118" t="s">
        <v>100</v>
      </c>
      <c r="F78" s="118" t="s">
        <v>110</v>
      </c>
      <c r="G78" s="118" t="s">
        <v>102</v>
      </c>
      <c r="H78" s="118" t="s">
        <v>103</v>
      </c>
      <c r="I78" s="119" t="s">
        <v>257</v>
      </c>
    </row>
    <row r="79" ht="90" customHeight="1" spans="1:9" x14ac:dyDescent="0.25">
      <c r="A79" s="117">
        <v>75</v>
      </c>
      <c r="B79" s="118" t="s">
        <v>258</v>
      </c>
      <c r="C79" s="118" t="s">
        <v>171</v>
      </c>
      <c r="D79" s="118" t="s">
        <v>146</v>
      </c>
      <c r="E79" s="118" t="s">
        <v>100</v>
      </c>
      <c r="F79" s="118" t="s">
        <v>110</v>
      </c>
      <c r="G79" s="118" t="s">
        <v>102</v>
      </c>
      <c r="H79" s="118" t="s">
        <v>103</v>
      </c>
      <c r="I79" s="119" t="s">
        <v>259</v>
      </c>
    </row>
    <row r="80" ht="45" customHeight="1" spans="1:9" x14ac:dyDescent="0.25">
      <c r="A80" s="117">
        <v>76</v>
      </c>
      <c r="B80" s="118" t="s">
        <v>260</v>
      </c>
      <c r="C80" s="118" t="s">
        <v>171</v>
      </c>
      <c r="D80" s="118" t="s">
        <v>146</v>
      </c>
      <c r="E80" s="118" t="s">
        <v>100</v>
      </c>
      <c r="F80" s="118" t="s">
        <v>110</v>
      </c>
      <c r="G80" s="118" t="s">
        <v>102</v>
      </c>
      <c r="H80" s="118" t="s">
        <v>103</v>
      </c>
      <c r="I80" s="119" t="s">
        <v>261</v>
      </c>
    </row>
    <row r="81" ht="60" customHeight="1" spans="1:9" x14ac:dyDescent="0.25">
      <c r="A81" s="117">
        <v>77</v>
      </c>
      <c r="B81" s="118" t="s">
        <v>262</v>
      </c>
      <c r="C81" s="118" t="s">
        <v>171</v>
      </c>
      <c r="D81" s="118" t="s">
        <v>146</v>
      </c>
      <c r="E81" s="118" t="s">
        <v>100</v>
      </c>
      <c r="F81" s="118" t="s">
        <v>110</v>
      </c>
      <c r="G81" s="118" t="s">
        <v>102</v>
      </c>
      <c r="H81" s="118" t="s">
        <v>103</v>
      </c>
      <c r="I81" s="119" t="s">
        <v>263</v>
      </c>
    </row>
    <row r="82" ht="60" customHeight="1" spans="1:9" x14ac:dyDescent="0.25">
      <c r="A82" s="117">
        <v>78</v>
      </c>
      <c r="B82" s="118" t="s">
        <v>264</v>
      </c>
      <c r="C82" s="118" t="s">
        <v>109</v>
      </c>
      <c r="D82" s="118" t="s">
        <v>146</v>
      </c>
      <c r="E82" s="118" t="s">
        <v>100</v>
      </c>
      <c r="F82" s="118" t="s">
        <v>110</v>
      </c>
      <c r="G82" s="118" t="s">
        <v>102</v>
      </c>
      <c r="H82" s="118" t="s">
        <v>103</v>
      </c>
      <c r="I82" s="119" t="s">
        <v>265</v>
      </c>
    </row>
    <row r="83" ht="60" customHeight="1" spans="1:9" x14ac:dyDescent="0.25">
      <c r="A83" s="117">
        <v>79</v>
      </c>
      <c r="B83" s="118" t="s">
        <v>266</v>
      </c>
      <c r="C83" s="118" t="s">
        <v>171</v>
      </c>
      <c r="D83" s="118" t="s">
        <v>146</v>
      </c>
      <c r="E83" s="118" t="s">
        <v>100</v>
      </c>
      <c r="F83" s="118" t="s">
        <v>110</v>
      </c>
      <c r="G83" s="118" t="s">
        <v>102</v>
      </c>
      <c r="H83" s="118" t="s">
        <v>103</v>
      </c>
      <c r="I83" s="119" t="s">
        <v>267</v>
      </c>
    </row>
    <row r="84" ht="105" customHeight="1" spans="1:9" x14ac:dyDescent="0.25">
      <c r="A84" s="117">
        <v>80</v>
      </c>
      <c r="B84" s="118" t="s">
        <v>268</v>
      </c>
      <c r="C84" s="118" t="s">
        <v>171</v>
      </c>
      <c r="D84" s="118" t="s">
        <v>269</v>
      </c>
      <c r="E84" s="118" t="s">
        <v>100</v>
      </c>
      <c r="F84" s="118" t="s">
        <v>110</v>
      </c>
      <c r="G84" s="118" t="s">
        <v>102</v>
      </c>
      <c r="H84" s="118" t="s">
        <v>103</v>
      </c>
      <c r="I84" s="119" t="s">
        <v>270</v>
      </c>
    </row>
    <row r="85" ht="45" customHeight="1" spans="1:9" x14ac:dyDescent="0.25">
      <c r="A85" s="117">
        <v>81</v>
      </c>
      <c r="B85" s="118" t="s">
        <v>271</v>
      </c>
      <c r="C85" s="118" t="s">
        <v>125</v>
      </c>
      <c r="D85" s="118" t="s">
        <v>272</v>
      </c>
      <c r="E85" s="118" t="s">
        <v>100</v>
      </c>
      <c r="F85" s="118" t="s">
        <v>101</v>
      </c>
      <c r="G85" s="118" t="s">
        <v>102</v>
      </c>
      <c r="H85" s="118" t="s">
        <v>112</v>
      </c>
      <c r="I85" s="119" t="s">
        <v>273</v>
      </c>
    </row>
    <row r="86" ht="45" customHeight="1" spans="1:9" x14ac:dyDescent="0.25">
      <c r="A86" s="117">
        <v>82</v>
      </c>
      <c r="B86" s="118" t="s">
        <v>274</v>
      </c>
      <c r="C86" s="118" t="s">
        <v>103</v>
      </c>
      <c r="D86" s="118" t="s">
        <v>146</v>
      </c>
      <c r="E86" s="118" t="s">
        <v>100</v>
      </c>
      <c r="F86" s="118" t="s">
        <v>110</v>
      </c>
      <c r="G86" s="118" t="s">
        <v>102</v>
      </c>
      <c r="H86" s="118" t="s">
        <v>103</v>
      </c>
      <c r="I86" s="119" t="s">
        <v>249</v>
      </c>
    </row>
    <row r="87" ht="45" customHeight="1" spans="1:9" x14ac:dyDescent="0.25">
      <c r="A87" s="117">
        <v>83</v>
      </c>
      <c r="B87" s="118" t="s">
        <v>275</v>
      </c>
      <c r="C87" s="118" t="s">
        <v>171</v>
      </c>
      <c r="D87" s="118" t="s">
        <v>146</v>
      </c>
      <c r="E87" s="118" t="s">
        <v>100</v>
      </c>
      <c r="F87" s="118" t="s">
        <v>110</v>
      </c>
      <c r="G87" s="118" t="s">
        <v>102</v>
      </c>
      <c r="H87" s="118" t="s">
        <v>103</v>
      </c>
      <c r="I87" s="119" t="s">
        <v>276</v>
      </c>
    </row>
    <row r="88" ht="45" customHeight="1" spans="1:9" x14ac:dyDescent="0.25">
      <c r="A88" s="117">
        <v>84</v>
      </c>
      <c r="B88" s="118" t="s">
        <v>277</v>
      </c>
      <c r="C88" s="118" t="s">
        <v>103</v>
      </c>
      <c r="D88" s="118" t="s">
        <v>146</v>
      </c>
      <c r="E88" s="118" t="s">
        <v>100</v>
      </c>
      <c r="F88" s="118" t="s">
        <v>110</v>
      </c>
      <c r="G88" s="118" t="s">
        <v>102</v>
      </c>
      <c r="H88" s="118" t="s">
        <v>103</v>
      </c>
      <c r="I88" s="119" t="s">
        <v>249</v>
      </c>
    </row>
    <row r="89" ht="45" customHeight="1" spans="1:9" x14ac:dyDescent="0.25">
      <c r="A89" s="117">
        <v>85</v>
      </c>
      <c r="B89" s="118" t="s">
        <v>278</v>
      </c>
      <c r="C89" s="118" t="s">
        <v>103</v>
      </c>
      <c r="D89" s="118" t="s">
        <v>146</v>
      </c>
      <c r="E89" s="118" t="s">
        <v>100</v>
      </c>
      <c r="F89" s="118" t="s">
        <v>110</v>
      </c>
      <c r="G89" s="118" t="s">
        <v>102</v>
      </c>
      <c r="H89" s="118" t="s">
        <v>103</v>
      </c>
      <c r="I89" s="119" t="s">
        <v>279</v>
      </c>
    </row>
    <row r="90" ht="45" customHeight="1" spans="1:9" x14ac:dyDescent="0.25">
      <c r="A90" s="117">
        <v>86</v>
      </c>
      <c r="B90" s="118" t="s">
        <v>280</v>
      </c>
      <c r="C90" s="118" t="s">
        <v>103</v>
      </c>
      <c r="D90" s="118" t="s">
        <v>269</v>
      </c>
      <c r="E90" s="118" t="s">
        <v>100</v>
      </c>
      <c r="F90" s="118" t="s">
        <v>110</v>
      </c>
      <c r="G90" s="118" t="s">
        <v>102</v>
      </c>
      <c r="H90" s="118" t="s">
        <v>103</v>
      </c>
      <c r="I90" s="119" t="s">
        <v>281</v>
      </c>
    </row>
    <row r="91" ht="45" customHeight="1" spans="1:9" x14ac:dyDescent="0.25">
      <c r="A91" s="117">
        <v>87</v>
      </c>
      <c r="B91" s="118" t="s">
        <v>282</v>
      </c>
      <c r="C91" s="118" t="s">
        <v>171</v>
      </c>
      <c r="D91" s="118" t="s">
        <v>146</v>
      </c>
      <c r="E91" s="118" t="s">
        <v>100</v>
      </c>
      <c r="F91" s="118" t="s">
        <v>110</v>
      </c>
      <c r="G91" s="118" t="s">
        <v>102</v>
      </c>
      <c r="H91" s="118" t="s">
        <v>103</v>
      </c>
      <c r="I91" s="119" t="s">
        <v>283</v>
      </c>
    </row>
    <row r="92" ht="45" customHeight="1" spans="1:9" x14ac:dyDescent="0.25">
      <c r="A92" s="117">
        <v>88</v>
      </c>
      <c r="B92" s="118" t="s">
        <v>284</v>
      </c>
      <c r="C92" s="118" t="s">
        <v>103</v>
      </c>
      <c r="D92" s="118" t="s">
        <v>146</v>
      </c>
      <c r="E92" s="118" t="s">
        <v>100</v>
      </c>
      <c r="F92" s="118" t="s">
        <v>110</v>
      </c>
      <c r="G92" s="118" t="s">
        <v>102</v>
      </c>
      <c r="H92" s="118" t="s">
        <v>103</v>
      </c>
      <c r="I92" s="119" t="s">
        <v>285</v>
      </c>
    </row>
    <row r="93" ht="45" customHeight="1" spans="1:9" x14ac:dyDescent="0.25">
      <c r="A93" s="117">
        <v>89</v>
      </c>
      <c r="B93" s="118" t="s">
        <v>286</v>
      </c>
      <c r="C93" s="118" t="s">
        <v>103</v>
      </c>
      <c r="D93" s="118" t="s">
        <v>146</v>
      </c>
      <c r="E93" s="118" t="s">
        <v>100</v>
      </c>
      <c r="F93" s="118" t="s">
        <v>110</v>
      </c>
      <c r="G93" s="118" t="s">
        <v>102</v>
      </c>
      <c r="H93" s="118" t="s">
        <v>103</v>
      </c>
      <c r="I93" s="119" t="s">
        <v>285</v>
      </c>
    </row>
    <row r="94" ht="45" customHeight="1" spans="1:9" x14ac:dyDescent="0.25">
      <c r="A94" s="117">
        <v>90</v>
      </c>
      <c r="B94" s="118" t="s">
        <v>287</v>
      </c>
      <c r="C94" s="118" t="s">
        <v>103</v>
      </c>
      <c r="D94" s="118" t="s">
        <v>146</v>
      </c>
      <c r="E94" s="118" t="s">
        <v>100</v>
      </c>
      <c r="F94" s="118" t="s">
        <v>110</v>
      </c>
      <c r="G94" s="118" t="s">
        <v>102</v>
      </c>
      <c r="H94" s="118" t="s">
        <v>103</v>
      </c>
      <c r="I94" s="119" t="s">
        <v>288</v>
      </c>
    </row>
    <row r="95" ht="45" customHeight="1" spans="1:9" x14ac:dyDescent="0.25">
      <c r="A95" s="117">
        <v>91</v>
      </c>
      <c r="B95" s="118" t="s">
        <v>289</v>
      </c>
      <c r="C95" s="118" t="s">
        <v>103</v>
      </c>
      <c r="D95" s="118" t="s">
        <v>99</v>
      </c>
      <c r="E95" s="118" t="s">
        <v>100</v>
      </c>
      <c r="F95" s="118" t="s">
        <v>110</v>
      </c>
      <c r="G95" s="118" t="s">
        <v>102</v>
      </c>
      <c r="H95" s="118" t="s">
        <v>112</v>
      </c>
      <c r="I95" s="119" t="s">
        <v>290</v>
      </c>
    </row>
    <row r="96" ht="75" customHeight="1" spans="1:9" x14ac:dyDescent="0.25">
      <c r="A96" s="117">
        <v>92</v>
      </c>
      <c r="B96" s="118" t="s">
        <v>291</v>
      </c>
      <c r="C96" s="118" t="s">
        <v>109</v>
      </c>
      <c r="D96" s="118" t="s">
        <v>146</v>
      </c>
      <c r="E96" s="118" t="s">
        <v>100</v>
      </c>
      <c r="F96" s="118" t="s">
        <v>110</v>
      </c>
      <c r="G96" s="118" t="s">
        <v>102</v>
      </c>
      <c r="H96" s="118" t="s">
        <v>103</v>
      </c>
      <c r="I96" s="119" t="s">
        <v>292</v>
      </c>
    </row>
    <row r="97" ht="45" customHeight="1" spans="1:9" x14ac:dyDescent="0.25">
      <c r="A97" s="117">
        <v>93</v>
      </c>
      <c r="B97" s="118" t="s">
        <v>293</v>
      </c>
      <c r="C97" s="118" t="s">
        <v>103</v>
      </c>
      <c r="D97" s="118" t="s">
        <v>146</v>
      </c>
      <c r="E97" s="118" t="s">
        <v>100</v>
      </c>
      <c r="F97" s="118" t="s">
        <v>110</v>
      </c>
      <c r="G97" s="118" t="s">
        <v>102</v>
      </c>
      <c r="H97" s="118" t="s">
        <v>103</v>
      </c>
      <c r="I97" s="119" t="s">
        <v>285</v>
      </c>
    </row>
    <row r="98" ht="75" customHeight="1" spans="1:9" x14ac:dyDescent="0.25">
      <c r="A98" s="117">
        <v>94</v>
      </c>
      <c r="B98" s="118" t="s">
        <v>294</v>
      </c>
      <c r="C98" s="118" t="s">
        <v>103</v>
      </c>
      <c r="D98" s="118" t="s">
        <v>146</v>
      </c>
      <c r="E98" s="118" t="s">
        <v>100</v>
      </c>
      <c r="F98" s="118" t="s">
        <v>110</v>
      </c>
      <c r="G98" s="118" t="s">
        <v>102</v>
      </c>
      <c r="H98" s="118" t="s">
        <v>103</v>
      </c>
      <c r="I98" s="119" t="s">
        <v>295</v>
      </c>
    </row>
    <row r="99" ht="75" customHeight="1" spans="1:9" x14ac:dyDescent="0.25">
      <c r="A99" s="117">
        <v>95</v>
      </c>
      <c r="B99" s="118" t="s">
        <v>296</v>
      </c>
      <c r="C99" s="118" t="s">
        <v>171</v>
      </c>
      <c r="D99" s="118" t="s">
        <v>146</v>
      </c>
      <c r="E99" s="118" t="s">
        <v>100</v>
      </c>
      <c r="F99" s="118" t="s">
        <v>110</v>
      </c>
      <c r="G99" s="118" t="s">
        <v>102</v>
      </c>
      <c r="H99" s="118" t="s">
        <v>103</v>
      </c>
      <c r="I99" s="119" t="s">
        <v>297</v>
      </c>
    </row>
    <row r="100" ht="60" customHeight="1" spans="1:9" x14ac:dyDescent="0.25">
      <c r="A100" s="117">
        <v>96</v>
      </c>
      <c r="B100" s="118" t="s">
        <v>298</v>
      </c>
      <c r="C100" s="118" t="s">
        <v>299</v>
      </c>
      <c r="D100" s="118" t="s">
        <v>99</v>
      </c>
      <c r="E100" s="118" t="s">
        <v>100</v>
      </c>
      <c r="F100" s="118" t="s">
        <v>110</v>
      </c>
      <c r="G100" s="118" t="s">
        <v>102</v>
      </c>
      <c r="H100" s="118" t="s">
        <v>300</v>
      </c>
      <c r="I100" s="119" t="s">
        <v>301</v>
      </c>
    </row>
    <row r="101" ht="60" customHeight="1" spans="1:9" x14ac:dyDescent="0.25">
      <c r="A101" s="117">
        <v>97</v>
      </c>
      <c r="B101" s="118" t="s">
        <v>302</v>
      </c>
      <c r="C101" s="118" t="s">
        <v>303</v>
      </c>
      <c r="D101" s="118" t="s">
        <v>146</v>
      </c>
      <c r="E101" s="118" t="s">
        <v>100</v>
      </c>
      <c r="F101" s="118" t="s">
        <v>110</v>
      </c>
      <c r="G101" s="118" t="s">
        <v>102</v>
      </c>
      <c r="H101" s="118" t="s">
        <v>103</v>
      </c>
      <c r="I101" s="119" t="s">
        <v>304</v>
      </c>
    </row>
    <row r="102" ht="75" customHeight="1" spans="1:9" x14ac:dyDescent="0.25">
      <c r="A102" s="117">
        <v>98</v>
      </c>
      <c r="B102" s="118" t="s">
        <v>305</v>
      </c>
      <c r="C102" s="118" t="s">
        <v>171</v>
      </c>
      <c r="D102" s="118" t="s">
        <v>146</v>
      </c>
      <c r="E102" s="118" t="s">
        <v>100</v>
      </c>
      <c r="F102" s="118" t="s">
        <v>110</v>
      </c>
      <c r="G102" s="118" t="s">
        <v>102</v>
      </c>
      <c r="H102" s="118" t="s">
        <v>103</v>
      </c>
      <c r="I102" s="119" t="s">
        <v>306</v>
      </c>
    </row>
    <row r="103" ht="45" customHeight="1" spans="1:9" x14ac:dyDescent="0.25">
      <c r="A103" s="117">
        <v>99</v>
      </c>
      <c r="B103" s="118" t="s">
        <v>307</v>
      </c>
      <c r="C103" s="118" t="s">
        <v>103</v>
      </c>
      <c r="D103" s="118" t="s">
        <v>146</v>
      </c>
      <c r="E103" s="118" t="s">
        <v>100</v>
      </c>
      <c r="F103" s="118" t="s">
        <v>110</v>
      </c>
      <c r="G103" s="118" t="s">
        <v>102</v>
      </c>
      <c r="H103" s="118" t="s">
        <v>103</v>
      </c>
      <c r="I103" s="119" t="s">
        <v>249</v>
      </c>
    </row>
    <row r="104" ht="60" customHeight="1" spans="1:9" x14ac:dyDescent="0.25">
      <c r="A104" s="117">
        <v>100</v>
      </c>
      <c r="B104" s="118" t="s">
        <v>308</v>
      </c>
      <c r="C104" s="118" t="s">
        <v>171</v>
      </c>
      <c r="D104" s="118" t="s">
        <v>146</v>
      </c>
      <c r="E104" s="118" t="s">
        <v>100</v>
      </c>
      <c r="F104" s="118" t="s">
        <v>110</v>
      </c>
      <c r="G104" s="118" t="s">
        <v>102</v>
      </c>
      <c r="H104" s="118" t="s">
        <v>103</v>
      </c>
      <c r="I104" s="119" t="s">
        <v>309</v>
      </c>
    </row>
    <row r="105" ht="60" customHeight="1" spans="1:9" x14ac:dyDescent="0.25">
      <c r="A105" s="117">
        <v>101</v>
      </c>
      <c r="B105" s="118" t="s">
        <v>310</v>
      </c>
      <c r="C105" s="118" t="s">
        <v>171</v>
      </c>
      <c r="D105" s="118" t="s">
        <v>146</v>
      </c>
      <c r="E105" s="118" t="s">
        <v>100</v>
      </c>
      <c r="F105" s="118" t="s">
        <v>110</v>
      </c>
      <c r="G105" s="118" t="s">
        <v>102</v>
      </c>
      <c r="H105" s="118" t="s">
        <v>103</v>
      </c>
      <c r="I105" s="119" t="s">
        <v>311</v>
      </c>
    </row>
    <row r="106" ht="60" customHeight="1" spans="1:9" x14ac:dyDescent="0.25">
      <c r="A106" s="117">
        <v>102</v>
      </c>
      <c r="B106" s="118" t="s">
        <v>312</v>
      </c>
      <c r="C106" s="118" t="s">
        <v>313</v>
      </c>
      <c r="D106" s="118" t="s">
        <v>146</v>
      </c>
      <c r="E106" s="118" t="s">
        <v>100</v>
      </c>
      <c r="F106" s="118" t="s">
        <v>110</v>
      </c>
      <c r="G106" s="118" t="s">
        <v>102</v>
      </c>
      <c r="H106" s="118" t="s">
        <v>103</v>
      </c>
      <c r="I106" s="119" t="s">
        <v>314</v>
      </c>
    </row>
    <row r="107" ht="90" customHeight="1" spans="1:9" x14ac:dyDescent="0.25">
      <c r="A107" s="117">
        <v>103</v>
      </c>
      <c r="B107" s="118" t="s">
        <v>315</v>
      </c>
      <c r="C107" s="118" t="s">
        <v>125</v>
      </c>
      <c r="D107" s="118" t="s">
        <v>316</v>
      </c>
      <c r="E107" s="118" t="s">
        <v>100</v>
      </c>
      <c r="F107" s="118" t="s">
        <v>110</v>
      </c>
      <c r="G107" s="118" t="s">
        <v>102</v>
      </c>
      <c r="H107" s="118" t="s">
        <v>112</v>
      </c>
      <c r="I107" s="119" t="s">
        <v>317</v>
      </c>
    </row>
    <row r="108" ht="75" customHeight="1" spans="1:9" s="120" customFormat="1" x14ac:dyDescent="0.25">
      <c r="A108" s="121">
        <v>104</v>
      </c>
      <c r="B108" s="122" t="s">
        <v>318</v>
      </c>
      <c r="C108" s="118" t="s">
        <v>109</v>
      </c>
      <c r="D108" s="118" t="s">
        <v>99</v>
      </c>
      <c r="E108" s="122" t="s">
        <v>100</v>
      </c>
      <c r="F108" s="122" t="s">
        <v>101</v>
      </c>
      <c r="G108" s="118" t="s">
        <v>102</v>
      </c>
      <c r="H108" s="122" t="s">
        <v>103</v>
      </c>
      <c r="I108" s="123" t="s">
        <v>319</v>
      </c>
    </row>
    <row r="109" ht="45" customHeight="1" spans="1:9" x14ac:dyDescent="0.25">
      <c r="A109" s="117">
        <v>105</v>
      </c>
      <c r="B109" s="118" t="s">
        <v>320</v>
      </c>
      <c r="C109" s="118" t="s">
        <v>116</v>
      </c>
      <c r="D109" s="118" t="s">
        <v>111</v>
      </c>
      <c r="E109" s="118" t="s">
        <v>100</v>
      </c>
      <c r="F109" s="122" t="s">
        <v>101</v>
      </c>
      <c r="G109" s="118" t="s">
        <v>111</v>
      </c>
      <c r="H109" s="118" t="s">
        <v>112</v>
      </c>
      <c r="I109" s="119" t="s">
        <v>321</v>
      </c>
    </row>
    <row r="110" ht="105" customHeight="1" spans="1:9" x14ac:dyDescent="0.25">
      <c r="A110" s="117">
        <v>106</v>
      </c>
      <c r="B110" s="118" t="s">
        <v>20</v>
      </c>
      <c r="C110" s="118" t="s">
        <v>199</v>
      </c>
      <c r="D110" s="118" t="s">
        <v>103</v>
      </c>
      <c r="E110" s="118" t="s">
        <v>100</v>
      </c>
      <c r="F110" s="122" t="s">
        <v>101</v>
      </c>
      <c r="G110" s="118" t="s">
        <v>111</v>
      </c>
      <c r="H110" s="118" t="s">
        <v>103</v>
      </c>
      <c r="I110" s="119" t="s">
        <v>322</v>
      </c>
    </row>
    <row r="111" ht="45" customHeight="1" spans="1:9" x14ac:dyDescent="0.25">
      <c r="A111" s="117">
        <v>107</v>
      </c>
      <c r="B111" s="118" t="s">
        <v>323</v>
      </c>
      <c r="C111" s="118" t="s">
        <v>324</v>
      </c>
      <c r="D111" s="118" t="s">
        <v>111</v>
      </c>
      <c r="E111" s="118" t="s">
        <v>100</v>
      </c>
      <c r="F111" s="122" t="s">
        <v>101</v>
      </c>
      <c r="G111" s="118" t="s">
        <v>111</v>
      </c>
      <c r="H111" s="118" t="s">
        <v>112</v>
      </c>
      <c r="I111" s="119" t="s">
        <v>325</v>
      </c>
    </row>
    <row r="112" ht="75" customHeight="1" spans="1:9" x14ac:dyDescent="0.25">
      <c r="A112" s="117">
        <v>108</v>
      </c>
      <c r="B112" s="118" t="s">
        <v>326</v>
      </c>
      <c r="C112" s="118" t="s">
        <v>125</v>
      </c>
      <c r="D112" s="118" t="s">
        <v>99</v>
      </c>
      <c r="E112" s="118" t="s">
        <v>100</v>
      </c>
      <c r="F112" s="122" t="s">
        <v>101</v>
      </c>
      <c r="G112" s="118" t="s">
        <v>102</v>
      </c>
      <c r="H112" s="118" t="s">
        <v>112</v>
      </c>
      <c r="I112" s="119" t="s">
        <v>327</v>
      </c>
    </row>
    <row r="113" ht="120" customHeight="1" spans="1:9" x14ac:dyDescent="0.25">
      <c r="A113" s="117">
        <v>109</v>
      </c>
      <c r="B113" s="118" t="s">
        <v>328</v>
      </c>
      <c r="C113" s="118" t="s">
        <v>109</v>
      </c>
      <c r="D113" s="118" t="s">
        <v>146</v>
      </c>
      <c r="E113" s="118" t="s">
        <v>100</v>
      </c>
      <c r="F113" s="122" t="s">
        <v>101</v>
      </c>
      <c r="G113" s="118" t="s">
        <v>102</v>
      </c>
      <c r="H113" s="118" t="s">
        <v>103</v>
      </c>
      <c r="I113" s="119" t="s">
        <v>329</v>
      </c>
    </row>
    <row r="114" ht="120" customHeight="1" spans="1:9" x14ac:dyDescent="0.25">
      <c r="A114" s="117">
        <v>110</v>
      </c>
      <c r="B114" s="118" t="s">
        <v>330</v>
      </c>
      <c r="C114" s="118" t="s">
        <v>164</v>
      </c>
      <c r="D114" s="118" t="s">
        <v>111</v>
      </c>
      <c r="E114" s="118" t="s">
        <v>100</v>
      </c>
      <c r="F114" s="118" t="s">
        <v>101</v>
      </c>
      <c r="G114" s="118" t="s">
        <v>111</v>
      </c>
      <c r="H114" s="118" t="s">
        <v>112</v>
      </c>
      <c r="I114" s="119" t="s">
        <v>331</v>
      </c>
    </row>
    <row r="115" ht="60" customHeight="1" spans="1:9" x14ac:dyDescent="0.25">
      <c r="A115" s="117">
        <v>111</v>
      </c>
      <c r="B115" s="118" t="s">
        <v>332</v>
      </c>
      <c r="C115" s="118" t="s">
        <v>333</v>
      </c>
      <c r="D115" s="118" t="s">
        <v>99</v>
      </c>
      <c r="E115" s="118" t="s">
        <v>100</v>
      </c>
      <c r="F115" s="118" t="s">
        <v>110</v>
      </c>
      <c r="G115" s="118" t="s">
        <v>102</v>
      </c>
      <c r="H115" s="118" t="s">
        <v>103</v>
      </c>
      <c r="I115" s="119" t="s">
        <v>334</v>
      </c>
    </row>
    <row r="116" ht="30" customHeight="1" spans="1:9" x14ac:dyDescent="0.25">
      <c r="A116" s="117">
        <v>112</v>
      </c>
      <c r="B116" s="118" t="s">
        <v>335</v>
      </c>
      <c r="C116" s="118" t="s">
        <v>109</v>
      </c>
      <c r="D116" s="118" t="s">
        <v>99</v>
      </c>
      <c r="E116" s="118" t="s">
        <v>100</v>
      </c>
      <c r="F116" s="118" t="s">
        <v>101</v>
      </c>
      <c r="G116" s="118" t="s">
        <v>111</v>
      </c>
      <c r="H116" s="118" t="s">
        <v>112</v>
      </c>
      <c r="I116" s="119" t="s">
        <v>336</v>
      </c>
    </row>
    <row r="117" ht="30" customHeight="1" spans="1:9" x14ac:dyDescent="0.25">
      <c r="A117" s="117">
        <v>113</v>
      </c>
      <c r="B117" s="118" t="s">
        <v>337</v>
      </c>
      <c r="C117" s="118" t="s">
        <v>125</v>
      </c>
      <c r="D117" s="118" t="s">
        <v>111</v>
      </c>
      <c r="E117" s="118" t="s">
        <v>100</v>
      </c>
      <c r="F117" s="118" t="s">
        <v>101</v>
      </c>
      <c r="G117" s="118" t="s">
        <v>111</v>
      </c>
      <c r="H117" s="118" t="s">
        <v>112</v>
      </c>
      <c r="I117" s="119" t="s">
        <v>338</v>
      </c>
    </row>
    <row r="118" ht="30" customHeight="1" spans="1:9" x14ac:dyDescent="0.25">
      <c r="A118" s="117">
        <v>114</v>
      </c>
      <c r="B118" s="118" t="s">
        <v>339</v>
      </c>
      <c r="C118" s="118" t="s">
        <v>114</v>
      </c>
      <c r="D118" s="118" t="s">
        <v>111</v>
      </c>
      <c r="E118" s="118" t="s">
        <v>100</v>
      </c>
      <c r="F118" s="118" t="s">
        <v>101</v>
      </c>
      <c r="G118" s="118" t="s">
        <v>111</v>
      </c>
      <c r="H118" s="118" t="s">
        <v>112</v>
      </c>
      <c r="I118" s="119"/>
    </row>
    <row r="119" ht="30" customHeight="1" spans="1:9" x14ac:dyDescent="0.25">
      <c r="A119" s="117">
        <v>115</v>
      </c>
      <c r="B119" s="118" t="s">
        <v>340</v>
      </c>
      <c r="C119" s="118" t="s">
        <v>109</v>
      </c>
      <c r="D119" s="118" t="s">
        <v>111</v>
      </c>
      <c r="E119" s="118" t="s">
        <v>100</v>
      </c>
      <c r="F119" s="118" t="s">
        <v>101</v>
      </c>
      <c r="G119" s="118" t="s">
        <v>111</v>
      </c>
      <c r="H119" s="118" t="s">
        <v>112</v>
      </c>
      <c r="I119" s="119" t="s">
        <v>341</v>
      </c>
    </row>
    <row r="120" ht="45" customHeight="1" spans="1:9" x14ac:dyDescent="0.25">
      <c r="A120" s="117">
        <v>116</v>
      </c>
      <c r="B120" s="118" t="s">
        <v>342</v>
      </c>
      <c r="C120" s="118" t="s">
        <v>343</v>
      </c>
      <c r="D120" s="118" t="s">
        <v>99</v>
      </c>
      <c r="E120" s="118" t="s">
        <v>100</v>
      </c>
      <c r="F120" s="118" t="s">
        <v>101</v>
      </c>
      <c r="G120" s="118" t="s">
        <v>111</v>
      </c>
      <c r="H120" s="118" t="s">
        <v>103</v>
      </c>
      <c r="I120" s="119"/>
    </row>
    <row r="121" ht="30" customHeight="1" spans="1:9" x14ac:dyDescent="0.25">
      <c r="A121" s="117">
        <v>117</v>
      </c>
      <c r="B121" s="118" t="s">
        <v>344</v>
      </c>
      <c r="C121" s="118" t="s">
        <v>109</v>
      </c>
      <c r="D121" s="118" t="s">
        <v>99</v>
      </c>
      <c r="E121" s="118" t="s">
        <v>100</v>
      </c>
      <c r="F121" s="118" t="s">
        <v>101</v>
      </c>
      <c r="G121" s="118" t="s">
        <v>102</v>
      </c>
      <c r="H121" s="118" t="s">
        <v>103</v>
      </c>
      <c r="I121" s="119" t="s">
        <v>345</v>
      </c>
    </row>
    <row r="122" ht="75" customHeight="1" spans="1:9" x14ac:dyDescent="0.25">
      <c r="A122" s="117">
        <v>118</v>
      </c>
      <c r="B122" s="118" t="s">
        <v>346</v>
      </c>
      <c r="C122" s="118" t="s">
        <v>347</v>
      </c>
      <c r="D122" s="118" t="s">
        <v>111</v>
      </c>
      <c r="E122" s="118" t="s">
        <v>100</v>
      </c>
      <c r="F122" s="118" t="s">
        <v>110</v>
      </c>
      <c r="G122" s="118" t="s">
        <v>111</v>
      </c>
      <c r="H122" s="118" t="s">
        <v>112</v>
      </c>
      <c r="I122" s="119" t="s">
        <v>348</v>
      </c>
    </row>
    <row r="123" ht="45" customHeight="1" spans="1:9" x14ac:dyDescent="0.25">
      <c r="A123" s="117">
        <v>119</v>
      </c>
      <c r="B123" s="118" t="s">
        <v>349</v>
      </c>
      <c r="C123" s="118" t="s">
        <v>116</v>
      </c>
      <c r="D123" s="118" t="s">
        <v>99</v>
      </c>
      <c r="E123" s="118" t="s">
        <v>100</v>
      </c>
      <c r="F123" s="118" t="s">
        <v>101</v>
      </c>
      <c r="G123" s="118" t="s">
        <v>102</v>
      </c>
      <c r="H123" s="118" t="s">
        <v>112</v>
      </c>
      <c r="I123" s="119" t="s">
        <v>350</v>
      </c>
    </row>
    <row r="124" ht="30" customHeight="1" spans="1:9" x14ac:dyDescent="0.25">
      <c r="A124" s="117">
        <v>120</v>
      </c>
      <c r="B124" s="118" t="s">
        <v>351</v>
      </c>
      <c r="C124" s="118" t="s">
        <v>352</v>
      </c>
      <c r="D124" s="118" t="s">
        <v>99</v>
      </c>
      <c r="E124" s="118" t="s">
        <v>100</v>
      </c>
      <c r="F124" s="118" t="s">
        <v>101</v>
      </c>
      <c r="G124" s="118" t="s">
        <v>102</v>
      </c>
      <c r="H124" s="118" t="s">
        <v>112</v>
      </c>
      <c r="I124" s="119" t="s">
        <v>353</v>
      </c>
    </row>
    <row r="125" ht="180" customHeight="1" spans="1:9" x14ac:dyDescent="0.25">
      <c r="A125" s="117">
        <v>121</v>
      </c>
      <c r="B125" s="118" t="s">
        <v>354</v>
      </c>
      <c r="C125" s="118" t="s">
        <v>199</v>
      </c>
      <c r="D125" s="118" t="s">
        <v>123</v>
      </c>
      <c r="E125" s="118" t="s">
        <v>100</v>
      </c>
      <c r="F125" s="118" t="s">
        <v>110</v>
      </c>
      <c r="G125" s="118" t="s">
        <v>102</v>
      </c>
      <c r="H125" s="118" t="s">
        <v>103</v>
      </c>
      <c r="I125" s="119" t="s">
        <v>355</v>
      </c>
    </row>
    <row r="126" ht="45" customHeight="1" spans="1:9" x14ac:dyDescent="0.25">
      <c r="A126" s="117">
        <v>122</v>
      </c>
      <c r="B126" s="118" t="s">
        <v>356</v>
      </c>
      <c r="C126" s="118" t="s">
        <v>103</v>
      </c>
      <c r="D126" s="118" t="s">
        <v>103</v>
      </c>
      <c r="E126" s="118" t="s">
        <v>100</v>
      </c>
      <c r="F126" s="118" t="s">
        <v>103</v>
      </c>
      <c r="G126" s="118" t="s">
        <v>103</v>
      </c>
      <c r="H126" s="118" t="s">
        <v>103</v>
      </c>
      <c r="I126" s="119" t="s">
        <v>357</v>
      </c>
    </row>
    <row r="127" ht="30" customHeight="1" spans="1:9" x14ac:dyDescent="0.25">
      <c r="A127" s="117">
        <v>123</v>
      </c>
      <c r="B127" s="118" t="s">
        <v>358</v>
      </c>
      <c r="C127" s="118" t="s">
        <v>359</v>
      </c>
      <c r="D127" s="118" t="s">
        <v>111</v>
      </c>
      <c r="E127" s="118" t="s">
        <v>100</v>
      </c>
      <c r="F127" s="118" t="s">
        <v>101</v>
      </c>
      <c r="G127" s="118" t="s">
        <v>111</v>
      </c>
      <c r="H127" s="118" t="s">
        <v>112</v>
      </c>
      <c r="I127" s="119" t="s">
        <v>360</v>
      </c>
    </row>
    <row r="128" ht="30" customHeight="1" spans="1:9" x14ac:dyDescent="0.25">
      <c r="A128" s="117">
        <v>124</v>
      </c>
      <c r="B128" s="118" t="s">
        <v>361</v>
      </c>
      <c r="C128" s="118" t="s">
        <v>362</v>
      </c>
      <c r="D128" s="118" t="s">
        <v>103</v>
      </c>
      <c r="E128" s="118" t="s">
        <v>100</v>
      </c>
      <c r="F128" s="118" t="s">
        <v>101</v>
      </c>
      <c r="G128" s="118" t="s">
        <v>102</v>
      </c>
      <c r="H128" s="118" t="s">
        <v>103</v>
      </c>
      <c r="I128" s="119"/>
    </row>
    <row r="129" ht="150" customHeight="1" spans="1:9" x14ac:dyDescent="0.25">
      <c r="A129" s="117">
        <v>125</v>
      </c>
      <c r="B129" s="118" t="s">
        <v>363</v>
      </c>
      <c r="C129" s="118" t="s">
        <v>364</v>
      </c>
      <c r="D129" s="118" t="s">
        <v>99</v>
      </c>
      <c r="E129" s="118" t="s">
        <v>100</v>
      </c>
      <c r="F129" s="118" t="s">
        <v>101</v>
      </c>
      <c r="G129" s="118" t="s">
        <v>102</v>
      </c>
      <c r="H129" s="118" t="s">
        <v>112</v>
      </c>
      <c r="I129" s="119" t="s">
        <v>365</v>
      </c>
    </row>
    <row r="130" ht="45" customHeight="1" spans="1:9" x14ac:dyDescent="0.25">
      <c r="A130" s="117">
        <v>126</v>
      </c>
      <c r="B130" s="118" t="s">
        <v>366</v>
      </c>
      <c r="C130" s="118" t="s">
        <v>99</v>
      </c>
      <c r="D130" s="118" t="s">
        <v>111</v>
      </c>
      <c r="E130" s="118" t="s">
        <v>100</v>
      </c>
      <c r="F130" s="118" t="s">
        <v>101</v>
      </c>
      <c r="G130" s="118" t="s">
        <v>111</v>
      </c>
      <c r="H130" s="118" t="s">
        <v>112</v>
      </c>
      <c r="I130" s="119"/>
    </row>
    <row r="131" ht="30" customHeight="1" spans="1:9" x14ac:dyDescent="0.25">
      <c r="A131" s="117">
        <v>127</v>
      </c>
      <c r="B131" s="118" t="s">
        <v>367</v>
      </c>
      <c r="C131" s="118" t="s">
        <v>368</v>
      </c>
      <c r="D131" s="118" t="s">
        <v>99</v>
      </c>
      <c r="E131" s="118" t="s">
        <v>100</v>
      </c>
      <c r="F131" s="118" t="s">
        <v>101</v>
      </c>
      <c r="G131" s="118" t="s">
        <v>102</v>
      </c>
      <c r="H131" s="118" t="s">
        <v>112</v>
      </c>
      <c r="I131" s="119" t="s">
        <v>369</v>
      </c>
    </row>
    <row r="132" ht="75" customHeight="1" spans="1:9" x14ac:dyDescent="0.25">
      <c r="A132" s="117">
        <v>128</v>
      </c>
      <c r="B132" s="118" t="s">
        <v>370</v>
      </c>
      <c r="C132" s="118" t="s">
        <v>364</v>
      </c>
      <c r="D132" s="118" t="s">
        <v>111</v>
      </c>
      <c r="E132" s="118" t="s">
        <v>100</v>
      </c>
      <c r="F132" s="118" t="s">
        <v>101</v>
      </c>
      <c r="G132" s="118" t="s">
        <v>111</v>
      </c>
      <c r="H132" s="118" t="s">
        <v>112</v>
      </c>
      <c r="I132" s="119" t="s">
        <v>371</v>
      </c>
    </row>
    <row r="133" ht="45" customHeight="1" spans="1:9" x14ac:dyDescent="0.25">
      <c r="A133" s="117">
        <v>129</v>
      </c>
      <c r="B133" s="118" t="s">
        <v>372</v>
      </c>
      <c r="C133" s="118" t="s">
        <v>125</v>
      </c>
      <c r="D133" s="118" t="s">
        <v>99</v>
      </c>
      <c r="E133" s="118" t="s">
        <v>100</v>
      </c>
      <c r="F133" s="118" t="s">
        <v>101</v>
      </c>
      <c r="G133" s="118" t="s">
        <v>102</v>
      </c>
      <c r="H133" s="118" t="s">
        <v>112</v>
      </c>
      <c r="I133" s="119" t="s">
        <v>373</v>
      </c>
    </row>
    <row r="134" ht="60" customHeight="1" spans="1:9" x14ac:dyDescent="0.25">
      <c r="A134" s="117">
        <v>130</v>
      </c>
      <c r="B134" s="118" t="s">
        <v>374</v>
      </c>
      <c r="C134" s="118" t="s">
        <v>116</v>
      </c>
      <c r="D134" s="118" t="s">
        <v>99</v>
      </c>
      <c r="E134" s="118" t="s">
        <v>100</v>
      </c>
      <c r="F134" s="118" t="s">
        <v>101</v>
      </c>
      <c r="G134" s="118" t="s">
        <v>102</v>
      </c>
      <c r="H134" s="118" t="s">
        <v>112</v>
      </c>
      <c r="I134" s="119" t="s">
        <v>375</v>
      </c>
    </row>
    <row r="135" ht="105" customHeight="1" spans="1:9" x14ac:dyDescent="0.25">
      <c r="A135" s="117">
        <v>131</v>
      </c>
      <c r="B135" s="118" t="s">
        <v>376</v>
      </c>
      <c r="C135" s="118" t="s">
        <v>109</v>
      </c>
      <c r="D135" s="118" t="s">
        <v>123</v>
      </c>
      <c r="E135" s="118" t="s">
        <v>100</v>
      </c>
      <c r="F135" s="118" t="s">
        <v>110</v>
      </c>
      <c r="G135" s="118" t="s">
        <v>102</v>
      </c>
      <c r="H135" s="118" t="s">
        <v>103</v>
      </c>
      <c r="I135" s="119" t="s">
        <v>377</v>
      </c>
    </row>
    <row r="136" ht="30" customHeight="1" spans="1:9" x14ac:dyDescent="0.25">
      <c r="A136" s="117">
        <v>132</v>
      </c>
      <c r="B136" s="118" t="s">
        <v>378</v>
      </c>
      <c r="C136" s="118" t="s">
        <v>99</v>
      </c>
      <c r="D136" s="118" t="s">
        <v>111</v>
      </c>
      <c r="E136" s="118" t="s">
        <v>100</v>
      </c>
      <c r="F136" s="118" t="s">
        <v>101</v>
      </c>
      <c r="G136" s="118" t="s">
        <v>111</v>
      </c>
      <c r="H136" s="118" t="s">
        <v>112</v>
      </c>
      <c r="I136" s="119"/>
    </row>
    <row r="137" ht="75" customHeight="1" spans="1:9" x14ac:dyDescent="0.25">
      <c r="A137" s="117">
        <v>133</v>
      </c>
      <c r="B137" s="118" t="s">
        <v>379</v>
      </c>
      <c r="C137" s="118" t="s">
        <v>380</v>
      </c>
      <c r="D137" s="118" t="s">
        <v>111</v>
      </c>
      <c r="E137" s="118" t="s">
        <v>100</v>
      </c>
      <c r="F137" s="118" t="s">
        <v>110</v>
      </c>
      <c r="G137" s="118" t="s">
        <v>111</v>
      </c>
      <c r="H137" s="118" t="s">
        <v>112</v>
      </c>
      <c r="I137" s="119" t="s">
        <v>165</v>
      </c>
    </row>
    <row r="138" ht="30" customHeight="1" spans="1:9" x14ac:dyDescent="0.25">
      <c r="A138" s="117">
        <v>134</v>
      </c>
      <c r="B138" s="118" t="s">
        <v>381</v>
      </c>
      <c r="C138" s="118" t="s">
        <v>125</v>
      </c>
      <c r="D138" s="118" t="s">
        <v>99</v>
      </c>
      <c r="E138" s="118" t="s">
        <v>100</v>
      </c>
      <c r="F138" s="118" t="s">
        <v>101</v>
      </c>
      <c r="G138" s="118" t="s">
        <v>102</v>
      </c>
      <c r="H138" s="118" t="s">
        <v>103</v>
      </c>
      <c r="I138" s="119"/>
    </row>
    <row r="139" ht="45" customHeight="1" spans="1:9" x14ac:dyDescent="0.25">
      <c r="A139" s="117">
        <v>135</v>
      </c>
      <c r="B139" s="118" t="s">
        <v>382</v>
      </c>
      <c r="C139" s="118" t="s">
        <v>109</v>
      </c>
      <c r="D139" s="118" t="s">
        <v>383</v>
      </c>
      <c r="E139" s="118" t="s">
        <v>100</v>
      </c>
      <c r="F139" s="118" t="s">
        <v>101</v>
      </c>
      <c r="G139" s="118" t="s">
        <v>102</v>
      </c>
      <c r="H139" s="118" t="s">
        <v>112</v>
      </c>
      <c r="I139" s="119" t="s">
        <v>384</v>
      </c>
    </row>
    <row r="140" ht="45" customHeight="1" spans="1:9" x14ac:dyDescent="0.25">
      <c r="A140" s="117">
        <v>136</v>
      </c>
      <c r="B140" s="118" t="s">
        <v>385</v>
      </c>
      <c r="C140" s="118" t="s">
        <v>125</v>
      </c>
      <c r="D140" s="118" t="s">
        <v>103</v>
      </c>
      <c r="E140" s="118" t="s">
        <v>100</v>
      </c>
      <c r="F140" s="118" t="s">
        <v>101</v>
      </c>
      <c r="G140" s="118" t="s">
        <v>102</v>
      </c>
      <c r="H140" s="118" t="s">
        <v>103</v>
      </c>
      <c r="I140" s="119"/>
    </row>
    <row r="141" ht="30" customHeight="1" spans="1:9" x14ac:dyDescent="0.25">
      <c r="A141" s="117">
        <v>137</v>
      </c>
      <c r="B141" s="118" t="s">
        <v>386</v>
      </c>
      <c r="C141" s="118" t="s">
        <v>125</v>
      </c>
      <c r="D141" s="118" t="s">
        <v>99</v>
      </c>
      <c r="E141" s="118" t="s">
        <v>100</v>
      </c>
      <c r="F141" s="118" t="s">
        <v>101</v>
      </c>
      <c r="G141" s="118" t="s">
        <v>102</v>
      </c>
      <c r="H141" s="118" t="s">
        <v>112</v>
      </c>
      <c r="I141" s="119"/>
    </row>
    <row r="142" ht="30" customHeight="1" spans="1:9" x14ac:dyDescent="0.25">
      <c r="A142" s="117">
        <v>138</v>
      </c>
      <c r="B142" s="118" t="s">
        <v>387</v>
      </c>
      <c r="C142" s="118" t="s">
        <v>114</v>
      </c>
      <c r="D142" s="118" t="s">
        <v>111</v>
      </c>
      <c r="E142" s="118" t="s">
        <v>100</v>
      </c>
      <c r="F142" s="118" t="s">
        <v>101</v>
      </c>
      <c r="G142" s="118" t="s">
        <v>111</v>
      </c>
      <c r="H142" s="118" t="s">
        <v>112</v>
      </c>
      <c r="I142" s="119"/>
    </row>
    <row r="143" ht="45" customHeight="1" spans="1:9" x14ac:dyDescent="0.25">
      <c r="A143" s="117">
        <v>139</v>
      </c>
      <c r="B143" s="118" t="s">
        <v>388</v>
      </c>
      <c r="C143" s="118" t="s">
        <v>109</v>
      </c>
      <c r="D143" s="118" t="s">
        <v>359</v>
      </c>
      <c r="E143" s="118" t="s">
        <v>100</v>
      </c>
      <c r="F143" s="118" t="s">
        <v>101</v>
      </c>
      <c r="G143" s="118" t="s">
        <v>102</v>
      </c>
      <c r="H143" s="118" t="s">
        <v>103</v>
      </c>
      <c r="I143" s="119"/>
    </row>
    <row r="144" ht="45" customHeight="1" spans="1:9" x14ac:dyDescent="0.25">
      <c r="A144" s="117">
        <v>140</v>
      </c>
      <c r="B144" s="118" t="s">
        <v>389</v>
      </c>
      <c r="C144" s="118" t="s">
        <v>125</v>
      </c>
      <c r="D144" s="118" t="s">
        <v>111</v>
      </c>
      <c r="E144" s="118" t="s">
        <v>100</v>
      </c>
      <c r="F144" s="118" t="s">
        <v>101</v>
      </c>
      <c r="G144" s="118" t="s">
        <v>111</v>
      </c>
      <c r="H144" s="118" t="s">
        <v>112</v>
      </c>
      <c r="I144" s="119" t="s">
        <v>390</v>
      </c>
    </row>
    <row r="145" ht="30" customHeight="1" spans="1:9" x14ac:dyDescent="0.25">
      <c r="A145" s="117">
        <v>141</v>
      </c>
      <c r="B145" s="118" t="s">
        <v>391</v>
      </c>
      <c r="C145" s="118" t="s">
        <v>109</v>
      </c>
      <c r="D145" s="118" t="s">
        <v>111</v>
      </c>
      <c r="E145" s="118" t="s">
        <v>100</v>
      </c>
      <c r="F145" s="118" t="s">
        <v>101</v>
      </c>
      <c r="G145" s="118" t="s">
        <v>111</v>
      </c>
      <c r="H145" s="118" t="s">
        <v>112</v>
      </c>
      <c r="I145" s="119"/>
    </row>
    <row r="146" ht="30" customHeight="1" spans="1:9" x14ac:dyDescent="0.25">
      <c r="A146" s="117">
        <v>142</v>
      </c>
      <c r="B146" s="118" t="s">
        <v>392</v>
      </c>
      <c r="C146" s="118" t="s">
        <v>109</v>
      </c>
      <c r="D146" s="118" t="s">
        <v>99</v>
      </c>
      <c r="E146" s="118" t="s">
        <v>100</v>
      </c>
      <c r="F146" s="118" t="s">
        <v>101</v>
      </c>
      <c r="G146" s="118" t="s">
        <v>102</v>
      </c>
      <c r="H146" s="118" t="s">
        <v>103</v>
      </c>
      <c r="I146" s="119" t="s">
        <v>393</v>
      </c>
    </row>
    <row r="147" ht="30" customHeight="1" spans="1:9" x14ac:dyDescent="0.25">
      <c r="A147" s="117">
        <v>143</v>
      </c>
      <c r="B147" s="118" t="s">
        <v>394</v>
      </c>
      <c r="C147" s="118" t="s">
        <v>352</v>
      </c>
      <c r="D147" s="118" t="s">
        <v>106</v>
      </c>
      <c r="E147" s="118" t="s">
        <v>100</v>
      </c>
      <c r="F147" s="118" t="s">
        <v>101</v>
      </c>
      <c r="G147" s="118" t="s">
        <v>102</v>
      </c>
      <c r="H147" s="118" t="s">
        <v>112</v>
      </c>
      <c r="I147" s="119"/>
    </row>
    <row r="148" ht="120" customHeight="1" spans="1:9" x14ac:dyDescent="0.25">
      <c r="A148" s="117">
        <v>144</v>
      </c>
      <c r="B148" s="118" t="s">
        <v>395</v>
      </c>
      <c r="C148" s="118" t="s">
        <v>396</v>
      </c>
      <c r="D148" s="118" t="s">
        <v>123</v>
      </c>
      <c r="E148" s="118" t="s">
        <v>100</v>
      </c>
      <c r="F148" s="118" t="s">
        <v>110</v>
      </c>
      <c r="G148" s="118" t="s">
        <v>102</v>
      </c>
      <c r="H148" s="118" t="s">
        <v>103</v>
      </c>
      <c r="I148" s="119"/>
    </row>
    <row r="149" ht="120" customHeight="1" spans="1:9" x14ac:dyDescent="0.25">
      <c r="A149" s="117">
        <v>145</v>
      </c>
      <c r="B149" s="118" t="s">
        <v>397</v>
      </c>
      <c r="C149" s="118" t="s">
        <v>396</v>
      </c>
      <c r="D149" s="118" t="s">
        <v>123</v>
      </c>
      <c r="E149" s="118" t="s">
        <v>100</v>
      </c>
      <c r="F149" s="118" t="s">
        <v>110</v>
      </c>
      <c r="G149" s="118" t="s">
        <v>102</v>
      </c>
      <c r="H149" s="118" t="s">
        <v>103</v>
      </c>
      <c r="I149" s="119"/>
    </row>
    <row r="150" ht="30" customHeight="1" spans="1:9" x14ac:dyDescent="0.25">
      <c r="A150" s="117">
        <v>146</v>
      </c>
      <c r="B150" s="118" t="s">
        <v>398</v>
      </c>
      <c r="C150" s="118" t="s">
        <v>125</v>
      </c>
      <c r="D150" s="118" t="s">
        <v>99</v>
      </c>
      <c r="E150" s="118" t="s">
        <v>100</v>
      </c>
      <c r="F150" s="118" t="s">
        <v>101</v>
      </c>
      <c r="G150" s="118" t="s">
        <v>102</v>
      </c>
      <c r="H150" s="118" t="s">
        <v>112</v>
      </c>
      <c r="I150" s="119"/>
    </row>
    <row r="151" ht="120" customHeight="1" spans="1:9" x14ac:dyDescent="0.25">
      <c r="A151" s="117">
        <v>147</v>
      </c>
      <c r="B151" s="118" t="s">
        <v>399</v>
      </c>
      <c r="C151" s="118" t="s">
        <v>400</v>
      </c>
      <c r="D151" s="118" t="s">
        <v>111</v>
      </c>
      <c r="E151" s="118" t="s">
        <v>100</v>
      </c>
      <c r="F151" s="118" t="s">
        <v>110</v>
      </c>
      <c r="G151" s="118" t="s">
        <v>111</v>
      </c>
      <c r="H151" s="118" t="s">
        <v>112</v>
      </c>
      <c r="I151" s="119" t="s">
        <v>401</v>
      </c>
    </row>
    <row r="152" ht="30" customHeight="1" spans="1:9" x14ac:dyDescent="0.25">
      <c r="A152" s="117">
        <v>148</v>
      </c>
      <c r="B152" s="118" t="s">
        <v>402</v>
      </c>
      <c r="C152" s="118" t="s">
        <v>109</v>
      </c>
      <c r="D152" s="118" t="s">
        <v>111</v>
      </c>
      <c r="E152" s="118" t="s">
        <v>100</v>
      </c>
      <c r="F152" s="118" t="s">
        <v>101</v>
      </c>
      <c r="G152" s="118" t="s">
        <v>111</v>
      </c>
      <c r="H152" s="118" t="s">
        <v>112</v>
      </c>
      <c r="I152" s="119" t="s">
        <v>403</v>
      </c>
    </row>
    <row r="153" ht="45" customHeight="1" spans="1:9" x14ac:dyDescent="0.25">
      <c r="A153" s="117">
        <v>149</v>
      </c>
      <c r="B153" s="118" t="s">
        <v>404</v>
      </c>
      <c r="C153" s="118" t="s">
        <v>106</v>
      </c>
      <c r="D153" s="118" t="s">
        <v>111</v>
      </c>
      <c r="E153" s="118" t="s">
        <v>100</v>
      </c>
      <c r="F153" s="118" t="s">
        <v>101</v>
      </c>
      <c r="G153" s="118" t="s">
        <v>111</v>
      </c>
      <c r="H153" s="118" t="s">
        <v>112</v>
      </c>
      <c r="I153" s="119"/>
    </row>
    <row r="154" ht="30" customHeight="1" spans="1:9" x14ac:dyDescent="0.25">
      <c r="A154" s="117">
        <v>150</v>
      </c>
      <c r="B154" s="118" t="s">
        <v>405</v>
      </c>
      <c r="C154" s="118" t="s">
        <v>114</v>
      </c>
      <c r="D154" s="118" t="s">
        <v>111</v>
      </c>
      <c r="E154" s="118" t="s">
        <v>100</v>
      </c>
      <c r="F154" s="118" t="s">
        <v>101</v>
      </c>
      <c r="G154" s="118" t="s">
        <v>111</v>
      </c>
      <c r="H154" s="118" t="s">
        <v>112</v>
      </c>
      <c r="I154" s="119" t="s">
        <v>406</v>
      </c>
    </row>
    <row r="155" ht="90" customHeight="1" spans="1:9" x14ac:dyDescent="0.25">
      <c r="A155" s="117">
        <v>151</v>
      </c>
      <c r="B155" s="118" t="s">
        <v>407</v>
      </c>
      <c r="C155" s="118" t="s">
        <v>145</v>
      </c>
      <c r="D155" s="118" t="s">
        <v>146</v>
      </c>
      <c r="E155" s="118" t="s">
        <v>100</v>
      </c>
      <c r="F155" s="118" t="s">
        <v>110</v>
      </c>
      <c r="G155" s="118" t="s">
        <v>111</v>
      </c>
      <c r="H155" s="118"/>
      <c r="I155" s="119" t="s">
        <v>408</v>
      </c>
    </row>
    <row r="156" ht="90" customHeight="1" spans="1:9" x14ac:dyDescent="0.25">
      <c r="A156" s="117">
        <v>152</v>
      </c>
      <c r="B156" s="118" t="s">
        <v>409</v>
      </c>
      <c r="C156" s="118" t="s">
        <v>145</v>
      </c>
      <c r="D156" s="118" t="s">
        <v>146</v>
      </c>
      <c r="E156" s="118" t="s">
        <v>100</v>
      </c>
      <c r="F156" s="118" t="s">
        <v>101</v>
      </c>
      <c r="G156" s="118" t="s">
        <v>111</v>
      </c>
      <c r="H156" s="118"/>
      <c r="I156" s="119" t="s">
        <v>410</v>
      </c>
    </row>
    <row r="157" ht="45" customHeight="1" spans="1:9" s="124" customFormat="1" x14ac:dyDescent="0.25">
      <c r="A157" s="117">
        <v>153</v>
      </c>
      <c r="B157" s="118" t="s">
        <v>411</v>
      </c>
      <c r="C157" s="118" t="s">
        <v>171</v>
      </c>
      <c r="D157" s="118" t="s">
        <v>111</v>
      </c>
      <c r="E157" s="118" t="s">
        <v>100</v>
      </c>
      <c r="F157" s="118" t="s">
        <v>110</v>
      </c>
      <c r="G157" s="118" t="s">
        <v>111</v>
      </c>
      <c r="H157" s="118" t="s">
        <v>112</v>
      </c>
      <c r="I157" s="119" t="s">
        <v>412</v>
      </c>
    </row>
    <row r="158" ht="30" customHeight="1" spans="1:9" x14ac:dyDescent="0.25">
      <c r="A158" s="117">
        <v>154</v>
      </c>
      <c r="B158" s="118" t="s">
        <v>413</v>
      </c>
      <c r="C158" s="118" t="s">
        <v>114</v>
      </c>
      <c r="D158" s="118" t="s">
        <v>111</v>
      </c>
      <c r="E158" s="118" t="s">
        <v>100</v>
      </c>
      <c r="F158" s="118" t="s">
        <v>101</v>
      </c>
      <c r="G158" s="118" t="s">
        <v>111</v>
      </c>
      <c r="H158" s="118" t="s">
        <v>112</v>
      </c>
      <c r="I158" s="119"/>
    </row>
    <row r="159" ht="45" customHeight="1" spans="1:9" x14ac:dyDescent="0.25">
      <c r="A159" s="117">
        <v>155</v>
      </c>
      <c r="B159" s="118" t="s">
        <v>414</v>
      </c>
      <c r="C159" s="118" t="s">
        <v>139</v>
      </c>
      <c r="D159" s="118" t="s">
        <v>415</v>
      </c>
      <c r="E159" s="118" t="s">
        <v>100</v>
      </c>
      <c r="F159" s="118" t="s">
        <v>110</v>
      </c>
      <c r="G159" s="118" t="s">
        <v>102</v>
      </c>
      <c r="H159" s="118" t="s">
        <v>103</v>
      </c>
      <c r="I159" s="119" t="s">
        <v>416</v>
      </c>
    </row>
    <row r="160" ht="30" customHeight="1" spans="1:9" x14ac:dyDescent="0.25">
      <c r="A160" s="117">
        <v>156</v>
      </c>
      <c r="B160" s="118" t="s">
        <v>417</v>
      </c>
      <c r="C160" s="118" t="s">
        <v>125</v>
      </c>
      <c r="D160" s="118" t="s">
        <v>418</v>
      </c>
      <c r="E160" s="118" t="s">
        <v>100</v>
      </c>
      <c r="F160" s="118" t="s">
        <v>101</v>
      </c>
      <c r="G160" s="118" t="s">
        <v>102</v>
      </c>
      <c r="H160" s="118" t="s">
        <v>112</v>
      </c>
      <c r="I160" s="119" t="s">
        <v>419</v>
      </c>
    </row>
    <row r="161" ht="45" customHeight="1" spans="1:9" x14ac:dyDescent="0.25">
      <c r="A161" s="117">
        <v>157</v>
      </c>
      <c r="B161" s="118" t="s">
        <v>420</v>
      </c>
      <c r="C161" s="118" t="s">
        <v>116</v>
      </c>
      <c r="D161" s="118" t="s">
        <v>99</v>
      </c>
      <c r="E161" s="118" t="s">
        <v>100</v>
      </c>
      <c r="F161" s="118" t="s">
        <v>101</v>
      </c>
      <c r="G161" s="118" t="s">
        <v>102</v>
      </c>
      <c r="H161" s="118" t="s">
        <v>112</v>
      </c>
      <c r="I161" s="119" t="s">
        <v>421</v>
      </c>
    </row>
    <row r="162" ht="45" customHeight="1" spans="1:9" x14ac:dyDescent="0.25">
      <c r="A162" s="117">
        <v>158</v>
      </c>
      <c r="B162" s="118" t="s">
        <v>422</v>
      </c>
      <c r="C162" s="118" t="s">
        <v>116</v>
      </c>
      <c r="D162" s="118" t="s">
        <v>99</v>
      </c>
      <c r="E162" s="118" t="s">
        <v>100</v>
      </c>
      <c r="F162" s="118" t="s">
        <v>101</v>
      </c>
      <c r="G162" s="118" t="s">
        <v>102</v>
      </c>
      <c r="H162" s="118" t="s">
        <v>112</v>
      </c>
      <c r="I162" s="119" t="s">
        <v>423</v>
      </c>
    </row>
    <row r="163" ht="45" customHeight="1" spans="1:9" x14ac:dyDescent="0.25">
      <c r="A163" s="117">
        <v>159</v>
      </c>
      <c r="B163" s="118" t="s">
        <v>424</v>
      </c>
      <c r="C163" s="118" t="s">
        <v>116</v>
      </c>
      <c r="D163" s="118" t="s">
        <v>99</v>
      </c>
      <c r="E163" s="118" t="s">
        <v>100</v>
      </c>
      <c r="F163" s="118" t="s">
        <v>101</v>
      </c>
      <c r="G163" s="118" t="s">
        <v>102</v>
      </c>
      <c r="H163" s="118" t="s">
        <v>112</v>
      </c>
      <c r="I163" s="119" t="s">
        <v>425</v>
      </c>
    </row>
    <row r="164" ht="45" customHeight="1" spans="1:9" x14ac:dyDescent="0.25">
      <c r="A164" s="117">
        <v>160</v>
      </c>
      <c r="B164" s="118" t="s">
        <v>426</v>
      </c>
      <c r="C164" s="118" t="s">
        <v>116</v>
      </c>
      <c r="D164" s="118" t="s">
        <v>99</v>
      </c>
      <c r="E164" s="118" t="s">
        <v>100</v>
      </c>
      <c r="F164" s="118" t="s">
        <v>101</v>
      </c>
      <c r="G164" s="118" t="s">
        <v>102</v>
      </c>
      <c r="H164" s="118" t="s">
        <v>112</v>
      </c>
      <c r="I164" s="119" t="s">
        <v>427</v>
      </c>
    </row>
    <row r="165" ht="30" customHeight="1" spans="1:9" x14ac:dyDescent="0.25">
      <c r="A165" s="117">
        <v>161</v>
      </c>
      <c r="B165" s="118" t="s">
        <v>428</v>
      </c>
      <c r="C165" s="118" t="s">
        <v>109</v>
      </c>
      <c r="D165" s="118" t="s">
        <v>140</v>
      </c>
      <c r="E165" s="118" t="s">
        <v>100</v>
      </c>
      <c r="F165" s="118" t="s">
        <v>101</v>
      </c>
      <c r="G165" s="118" t="s">
        <v>102</v>
      </c>
      <c r="H165" s="118" t="s">
        <v>103</v>
      </c>
      <c r="I165" s="119" t="s">
        <v>429</v>
      </c>
    </row>
    <row r="166" ht="30" customHeight="1" spans="1:9" x14ac:dyDescent="0.25">
      <c r="A166" s="117">
        <v>162</v>
      </c>
      <c r="B166" s="118" t="s">
        <v>430</v>
      </c>
      <c r="C166" s="118" t="s">
        <v>109</v>
      </c>
      <c r="D166" s="118" t="s">
        <v>140</v>
      </c>
      <c r="E166" s="118" t="s">
        <v>100</v>
      </c>
      <c r="F166" s="118" t="s">
        <v>101</v>
      </c>
      <c r="G166" s="118" t="s">
        <v>102</v>
      </c>
      <c r="H166" s="118" t="s">
        <v>103</v>
      </c>
      <c r="I166" s="119"/>
    </row>
    <row r="167" ht="60" customHeight="1" spans="1:9" x14ac:dyDescent="0.25">
      <c r="A167" s="117">
        <v>163</v>
      </c>
      <c r="B167" s="118" t="s">
        <v>431</v>
      </c>
      <c r="C167" s="118" t="s">
        <v>125</v>
      </c>
      <c r="D167" s="118" t="s">
        <v>99</v>
      </c>
      <c r="E167" s="118" t="s">
        <v>100</v>
      </c>
      <c r="F167" s="118" t="s">
        <v>101</v>
      </c>
      <c r="G167" s="118" t="s">
        <v>102</v>
      </c>
      <c r="H167" s="118" t="s">
        <v>112</v>
      </c>
      <c r="I167" s="119" t="s">
        <v>432</v>
      </c>
    </row>
    <row r="168" ht="45" customHeight="1" spans="1:9" x14ac:dyDescent="0.25">
      <c r="A168" s="117">
        <v>164</v>
      </c>
      <c r="B168" s="118" t="s">
        <v>433</v>
      </c>
      <c r="C168" s="118" t="s">
        <v>109</v>
      </c>
      <c r="D168" s="118" t="s">
        <v>140</v>
      </c>
      <c r="E168" s="118" t="s">
        <v>100</v>
      </c>
      <c r="F168" s="118" t="s">
        <v>110</v>
      </c>
      <c r="G168" s="118" t="s">
        <v>102</v>
      </c>
      <c r="H168" s="118" t="s">
        <v>103</v>
      </c>
      <c r="I168" s="119" t="s">
        <v>434</v>
      </c>
    </row>
    <row r="169" ht="30" customHeight="1" spans="1:9" x14ac:dyDescent="0.25">
      <c r="A169" s="117">
        <v>165</v>
      </c>
      <c r="B169" s="118" t="s">
        <v>435</v>
      </c>
      <c r="C169" s="118" t="s">
        <v>109</v>
      </c>
      <c r="D169" s="118" t="s">
        <v>140</v>
      </c>
      <c r="E169" s="118" t="s">
        <v>100</v>
      </c>
      <c r="F169" s="118" t="s">
        <v>101</v>
      </c>
      <c r="G169" s="118" t="s">
        <v>102</v>
      </c>
      <c r="H169" s="118" t="s">
        <v>103</v>
      </c>
      <c r="I169" s="119"/>
    </row>
    <row r="170" ht="45" customHeight="1" spans="1:9" x14ac:dyDescent="0.25">
      <c r="A170" s="117">
        <v>166</v>
      </c>
      <c r="B170" s="118" t="s">
        <v>436</v>
      </c>
      <c r="C170" s="118" t="s">
        <v>109</v>
      </c>
      <c r="D170" s="118" t="s">
        <v>140</v>
      </c>
      <c r="E170" s="118" t="s">
        <v>100</v>
      </c>
      <c r="F170" s="118" t="s">
        <v>101</v>
      </c>
      <c r="G170" s="118" t="s">
        <v>102</v>
      </c>
      <c r="H170" s="118" t="s">
        <v>103</v>
      </c>
      <c r="I170" s="119"/>
    </row>
    <row r="171" ht="60" customHeight="1" spans="1:9" x14ac:dyDescent="0.25">
      <c r="A171" s="117">
        <v>167</v>
      </c>
      <c r="B171" s="118" t="s">
        <v>437</v>
      </c>
      <c r="C171" s="118" t="s">
        <v>109</v>
      </c>
      <c r="D171" s="118" t="s">
        <v>140</v>
      </c>
      <c r="E171" s="118" t="s">
        <v>100</v>
      </c>
      <c r="F171" s="118" t="s">
        <v>101</v>
      </c>
      <c r="G171" s="118" t="s">
        <v>102</v>
      </c>
      <c r="H171" s="118" t="s">
        <v>103</v>
      </c>
      <c r="I171" s="119" t="s">
        <v>438</v>
      </c>
    </row>
    <row r="172" ht="30" customHeight="1" spans="1:9" x14ac:dyDescent="0.25">
      <c r="A172" s="117">
        <v>168</v>
      </c>
      <c r="B172" s="118" t="s">
        <v>439</v>
      </c>
      <c r="C172" s="118" t="s">
        <v>440</v>
      </c>
      <c r="D172" s="118" t="s">
        <v>99</v>
      </c>
      <c r="E172" s="118" t="s">
        <v>100</v>
      </c>
      <c r="F172" s="118" t="s">
        <v>101</v>
      </c>
      <c r="G172" s="118" t="s">
        <v>102</v>
      </c>
      <c r="H172" s="118" t="s">
        <v>103</v>
      </c>
      <c r="I172" s="119"/>
    </row>
    <row r="173" ht="45" customHeight="1" spans="1:9" x14ac:dyDescent="0.25">
      <c r="A173" s="117">
        <v>169</v>
      </c>
      <c r="B173" s="118" t="s">
        <v>441</v>
      </c>
      <c r="C173" s="118" t="s">
        <v>440</v>
      </c>
      <c r="D173" s="118" t="s">
        <v>99</v>
      </c>
      <c r="E173" s="118" t="s">
        <v>100</v>
      </c>
      <c r="F173" s="118" t="s">
        <v>101</v>
      </c>
      <c r="G173" s="118" t="s">
        <v>102</v>
      </c>
      <c r="H173" s="118" t="s">
        <v>103</v>
      </c>
      <c r="I173" s="119"/>
    </row>
    <row r="174" ht="30" customHeight="1" spans="1:9" x14ac:dyDescent="0.25">
      <c r="A174" s="117">
        <v>170</v>
      </c>
      <c r="B174" s="118" t="s">
        <v>442</v>
      </c>
      <c r="C174" s="118" t="s">
        <v>440</v>
      </c>
      <c r="D174" s="118" t="s">
        <v>99</v>
      </c>
      <c r="E174" s="118" t="s">
        <v>100</v>
      </c>
      <c r="F174" s="118" t="s">
        <v>101</v>
      </c>
      <c r="G174" s="118" t="s">
        <v>102</v>
      </c>
      <c r="H174" s="118" t="s">
        <v>103</v>
      </c>
      <c r="I174" s="119"/>
    </row>
    <row r="175" ht="75" customHeight="1" spans="1:9" x14ac:dyDescent="0.25">
      <c r="A175" s="117">
        <v>171</v>
      </c>
      <c r="B175" s="118" t="s">
        <v>443</v>
      </c>
      <c r="C175" s="118" t="s">
        <v>103</v>
      </c>
      <c r="D175" s="118" t="s">
        <v>99</v>
      </c>
      <c r="E175" s="118" t="s">
        <v>100</v>
      </c>
      <c r="F175" s="118" t="s">
        <v>101</v>
      </c>
      <c r="G175" s="118" t="s">
        <v>102</v>
      </c>
      <c r="H175" s="118" t="s">
        <v>112</v>
      </c>
      <c r="I175" s="119" t="s">
        <v>444</v>
      </c>
    </row>
    <row r="176" ht="30" customHeight="1" spans="1:9" x14ac:dyDescent="0.25">
      <c r="A176" s="117">
        <v>172</v>
      </c>
      <c r="B176" s="118" t="s">
        <v>445</v>
      </c>
      <c r="C176" s="118" t="s">
        <v>125</v>
      </c>
      <c r="D176" s="118" t="s">
        <v>140</v>
      </c>
      <c r="E176" s="118" t="s">
        <v>100</v>
      </c>
      <c r="F176" s="118" t="s">
        <v>101</v>
      </c>
      <c r="G176" s="118" t="s">
        <v>102</v>
      </c>
      <c r="H176" s="118" t="s">
        <v>103</v>
      </c>
      <c r="I176" s="119"/>
    </row>
    <row r="177" ht="150" customHeight="1" spans="1:9" x14ac:dyDescent="0.25">
      <c r="A177" s="117">
        <v>173</v>
      </c>
      <c r="B177" s="118" t="s">
        <v>446</v>
      </c>
      <c r="C177" s="118" t="s">
        <v>114</v>
      </c>
      <c r="D177" s="118" t="s">
        <v>111</v>
      </c>
      <c r="E177" s="118" t="s">
        <v>100</v>
      </c>
      <c r="F177" s="118" t="s">
        <v>101</v>
      </c>
      <c r="G177" s="118" t="s">
        <v>111</v>
      </c>
      <c r="H177" s="118" t="s">
        <v>112</v>
      </c>
      <c r="I177" s="119" t="s">
        <v>447</v>
      </c>
    </row>
    <row r="178" ht="45" customHeight="1" spans="1:9" x14ac:dyDescent="0.25">
      <c r="A178" s="117">
        <v>174</v>
      </c>
      <c r="B178" s="118" t="s">
        <v>448</v>
      </c>
      <c r="C178" s="118" t="s">
        <v>109</v>
      </c>
      <c r="D178" s="118" t="s">
        <v>99</v>
      </c>
      <c r="E178" s="118" t="s">
        <v>100</v>
      </c>
      <c r="F178" s="118" t="s">
        <v>110</v>
      </c>
      <c r="G178" s="118" t="s">
        <v>102</v>
      </c>
      <c r="H178" s="118" t="s">
        <v>103</v>
      </c>
      <c r="I178" s="119"/>
    </row>
    <row r="179" ht="45" customHeight="1" spans="1:9" x14ac:dyDescent="0.25">
      <c r="A179" s="117">
        <v>175</v>
      </c>
      <c r="B179" s="118" t="s">
        <v>449</v>
      </c>
      <c r="C179" s="118" t="s">
        <v>109</v>
      </c>
      <c r="D179" s="118" t="s">
        <v>99</v>
      </c>
      <c r="E179" s="118" t="s">
        <v>100</v>
      </c>
      <c r="F179" s="118" t="s">
        <v>110</v>
      </c>
      <c r="G179" s="118" t="s">
        <v>102</v>
      </c>
      <c r="H179" s="118" t="s">
        <v>103</v>
      </c>
      <c r="I179" s="119"/>
    </row>
    <row r="180" ht="90" customHeight="1" spans="1:9" x14ac:dyDescent="0.25">
      <c r="A180" s="117">
        <v>176</v>
      </c>
      <c r="B180" s="118" t="s">
        <v>450</v>
      </c>
      <c r="C180" s="118" t="s">
        <v>359</v>
      </c>
      <c r="D180" s="118" t="s">
        <v>103</v>
      </c>
      <c r="E180" s="118" t="s">
        <v>100</v>
      </c>
      <c r="F180" s="118" t="s">
        <v>101</v>
      </c>
      <c r="G180" s="118" t="s">
        <v>111</v>
      </c>
      <c r="H180" s="118"/>
      <c r="I180" s="119" t="s">
        <v>451</v>
      </c>
    </row>
    <row r="181" ht="30" customHeight="1" spans="1:9" x14ac:dyDescent="0.25">
      <c r="A181" s="117">
        <v>177</v>
      </c>
      <c r="B181" s="118" t="s">
        <v>452</v>
      </c>
      <c r="C181" s="118" t="s">
        <v>109</v>
      </c>
      <c r="D181" s="118" t="s">
        <v>99</v>
      </c>
      <c r="E181" s="118" t="s">
        <v>100</v>
      </c>
      <c r="F181" s="118" t="s">
        <v>101</v>
      </c>
      <c r="G181" s="118" t="s">
        <v>102</v>
      </c>
      <c r="H181" s="118" t="s">
        <v>112</v>
      </c>
      <c r="I181" s="119" t="s">
        <v>453</v>
      </c>
    </row>
    <row r="182" ht="45" customHeight="1" spans="1:9" x14ac:dyDescent="0.25">
      <c r="A182" s="117">
        <v>178</v>
      </c>
      <c r="B182" s="118" t="s">
        <v>454</v>
      </c>
      <c r="C182" s="118" t="s">
        <v>187</v>
      </c>
      <c r="D182" s="118" t="s">
        <v>99</v>
      </c>
      <c r="E182" s="118" t="s">
        <v>100</v>
      </c>
      <c r="F182" s="118" t="s">
        <v>101</v>
      </c>
      <c r="G182" s="118" t="s">
        <v>102</v>
      </c>
      <c r="H182" s="118" t="s">
        <v>112</v>
      </c>
      <c r="I182" s="119" t="s">
        <v>455</v>
      </c>
    </row>
    <row r="183" ht="30" customHeight="1" spans="1:9" x14ac:dyDescent="0.25">
      <c r="A183" s="117">
        <v>179</v>
      </c>
      <c r="B183" s="118" t="s">
        <v>456</v>
      </c>
      <c r="C183" s="118" t="s">
        <v>109</v>
      </c>
      <c r="D183" s="118" t="s">
        <v>99</v>
      </c>
      <c r="E183" s="118" t="s">
        <v>100</v>
      </c>
      <c r="F183" s="118" t="s">
        <v>101</v>
      </c>
      <c r="G183" s="118" t="s">
        <v>102</v>
      </c>
      <c r="H183" s="118" t="s">
        <v>112</v>
      </c>
      <c r="I183" s="119"/>
    </row>
    <row r="184" ht="30" customHeight="1" spans="1:9" x14ac:dyDescent="0.25">
      <c r="A184" s="117">
        <v>180</v>
      </c>
      <c r="B184" s="118" t="s">
        <v>457</v>
      </c>
      <c r="C184" s="118" t="s">
        <v>458</v>
      </c>
      <c r="D184" s="118" t="s">
        <v>103</v>
      </c>
      <c r="E184" s="118" t="s">
        <v>100</v>
      </c>
      <c r="F184" s="118" t="s">
        <v>103</v>
      </c>
      <c r="G184" s="118" t="s">
        <v>102</v>
      </c>
      <c r="H184" s="118" t="s">
        <v>103</v>
      </c>
      <c r="I184" s="119" t="s">
        <v>459</v>
      </c>
    </row>
    <row r="185" ht="90" customHeight="1" spans="1:9" x14ac:dyDescent="0.25">
      <c r="A185" s="117">
        <v>181</v>
      </c>
      <c r="B185" s="118" t="s">
        <v>460</v>
      </c>
      <c r="C185" s="118" t="s">
        <v>103</v>
      </c>
      <c r="D185" s="118" t="s">
        <v>99</v>
      </c>
      <c r="E185" s="118" t="s">
        <v>100</v>
      </c>
      <c r="F185" s="118" t="s">
        <v>101</v>
      </c>
      <c r="G185" s="118" t="s">
        <v>102</v>
      </c>
      <c r="H185" s="118" t="s">
        <v>112</v>
      </c>
      <c r="I185" s="119" t="s">
        <v>461</v>
      </c>
    </row>
    <row r="186" ht="30" customHeight="1" spans="1:9" x14ac:dyDescent="0.25">
      <c r="A186" s="117">
        <v>182</v>
      </c>
      <c r="B186" s="118" t="s">
        <v>462</v>
      </c>
      <c r="C186" s="118" t="s">
        <v>171</v>
      </c>
      <c r="D186" s="118" t="s">
        <v>99</v>
      </c>
      <c r="E186" s="118" t="s">
        <v>100</v>
      </c>
      <c r="F186" s="118" t="s">
        <v>101</v>
      </c>
      <c r="G186" s="118" t="s">
        <v>102</v>
      </c>
      <c r="H186" s="118" t="s">
        <v>112</v>
      </c>
      <c r="I186" s="119" t="s">
        <v>463</v>
      </c>
    </row>
    <row r="187" ht="30" customHeight="1" spans="1:9" x14ac:dyDescent="0.25">
      <c r="A187" s="117">
        <v>183</v>
      </c>
      <c r="B187" s="118" t="s">
        <v>464</v>
      </c>
      <c r="C187" s="118" t="s">
        <v>359</v>
      </c>
      <c r="D187" s="118" t="s">
        <v>99</v>
      </c>
      <c r="E187" s="118" t="s">
        <v>100</v>
      </c>
      <c r="F187" s="118" t="s">
        <v>101</v>
      </c>
      <c r="G187" s="118" t="s">
        <v>102</v>
      </c>
      <c r="H187" s="118" t="s">
        <v>103</v>
      </c>
      <c r="I187" s="119" t="s">
        <v>465</v>
      </c>
    </row>
    <row r="188" ht="30" customHeight="1" spans="1:9" x14ac:dyDescent="0.25">
      <c r="A188" s="117">
        <v>184</v>
      </c>
      <c r="B188" s="118" t="s">
        <v>466</v>
      </c>
      <c r="C188" s="118" t="s">
        <v>173</v>
      </c>
      <c r="D188" s="118" t="s">
        <v>123</v>
      </c>
      <c r="E188" s="118" t="s">
        <v>100</v>
      </c>
      <c r="F188" s="118" t="s">
        <v>101</v>
      </c>
      <c r="G188" s="118" t="s">
        <v>102</v>
      </c>
      <c r="H188" s="118" t="s">
        <v>103</v>
      </c>
      <c r="I188" s="119"/>
    </row>
    <row r="189" ht="30" customHeight="1" spans="1:9" x14ac:dyDescent="0.25">
      <c r="A189" s="117">
        <v>185</v>
      </c>
      <c r="B189" s="118" t="s">
        <v>467</v>
      </c>
      <c r="C189" s="118" t="s">
        <v>173</v>
      </c>
      <c r="D189" s="118" t="s">
        <v>99</v>
      </c>
      <c r="E189" s="118" t="s">
        <v>100</v>
      </c>
      <c r="F189" s="118" t="s">
        <v>101</v>
      </c>
      <c r="G189" s="118" t="s">
        <v>102</v>
      </c>
      <c r="H189" s="118" t="s">
        <v>103</v>
      </c>
      <c r="I189" s="119"/>
    </row>
    <row r="190" ht="45" customHeight="1" spans="1:9" x14ac:dyDescent="0.25">
      <c r="A190" s="117">
        <v>186</v>
      </c>
      <c r="B190" s="118" t="s">
        <v>468</v>
      </c>
      <c r="C190" s="118" t="s">
        <v>98</v>
      </c>
      <c r="D190" s="118" t="s">
        <v>140</v>
      </c>
      <c r="E190" s="118" t="s">
        <v>100</v>
      </c>
      <c r="F190" s="118" t="s">
        <v>101</v>
      </c>
      <c r="G190" s="118" t="s">
        <v>102</v>
      </c>
      <c r="H190" s="118" t="s">
        <v>103</v>
      </c>
      <c r="I190" s="119" t="s">
        <v>469</v>
      </c>
    </row>
    <row r="191" spans="1:9" x14ac:dyDescent="0.25">
      <c r="A191" s="117">
        <v>187</v>
      </c>
      <c r="B191" s="118" t="s">
        <v>470</v>
      </c>
      <c r="C191" s="118" t="s">
        <v>114</v>
      </c>
      <c r="D191" s="118" t="s">
        <v>123</v>
      </c>
      <c r="E191" s="118" t="s">
        <v>100</v>
      </c>
      <c r="F191" s="118" t="s">
        <v>101</v>
      </c>
      <c r="G191" s="118" t="s">
        <v>102</v>
      </c>
      <c r="H191" s="118" t="s">
        <v>103</v>
      </c>
      <c r="I191" s="119"/>
    </row>
    <row r="192" ht="30" customHeight="1" spans="1:9" x14ac:dyDescent="0.25">
      <c r="A192" s="117">
        <v>188</v>
      </c>
      <c r="B192" s="118" t="s">
        <v>471</v>
      </c>
      <c r="C192" s="118" t="s">
        <v>243</v>
      </c>
      <c r="D192" s="118" t="s">
        <v>99</v>
      </c>
      <c r="E192" s="118" t="s">
        <v>100</v>
      </c>
      <c r="F192" s="118" t="s">
        <v>101</v>
      </c>
      <c r="G192" s="118" t="s">
        <v>102</v>
      </c>
      <c r="H192" s="118" t="s">
        <v>112</v>
      </c>
      <c r="I192" s="119"/>
    </row>
    <row r="193" ht="30" customHeight="1" spans="1:9" x14ac:dyDescent="0.25">
      <c r="A193" s="117">
        <v>189</v>
      </c>
      <c r="B193" s="118" t="s">
        <v>472</v>
      </c>
      <c r="C193" s="118" t="s">
        <v>99</v>
      </c>
      <c r="D193" s="118" t="s">
        <v>111</v>
      </c>
      <c r="E193" s="118" t="s">
        <v>100</v>
      </c>
      <c r="F193" s="118" t="s">
        <v>101</v>
      </c>
      <c r="G193" s="118" t="s">
        <v>111</v>
      </c>
      <c r="H193" s="118" t="s">
        <v>112</v>
      </c>
      <c r="I193" s="119"/>
    </row>
    <row r="194" ht="45" customHeight="1" spans="1:9" x14ac:dyDescent="0.25">
      <c r="A194" s="117">
        <v>190</v>
      </c>
      <c r="B194" s="118" t="s">
        <v>473</v>
      </c>
      <c r="C194" s="118" t="s">
        <v>243</v>
      </c>
      <c r="D194" s="118" t="s">
        <v>111</v>
      </c>
      <c r="E194" s="118" t="s">
        <v>100</v>
      </c>
      <c r="F194" s="118" t="s">
        <v>101</v>
      </c>
      <c r="G194" s="118" t="s">
        <v>111</v>
      </c>
      <c r="H194" s="118" t="s">
        <v>112</v>
      </c>
      <c r="I194" s="119" t="s">
        <v>474</v>
      </c>
    </row>
    <row r="195" ht="60" customHeight="1" spans="1:9" x14ac:dyDescent="0.25">
      <c r="A195" s="117">
        <v>191</v>
      </c>
      <c r="B195" s="118" t="s">
        <v>475</v>
      </c>
      <c r="C195" s="118" t="s">
        <v>103</v>
      </c>
      <c r="D195" s="118" t="s">
        <v>99</v>
      </c>
      <c r="E195" s="118" t="s">
        <v>100</v>
      </c>
      <c r="F195" s="118" t="s">
        <v>101</v>
      </c>
      <c r="G195" s="118" t="s">
        <v>102</v>
      </c>
      <c r="H195" s="118" t="s">
        <v>112</v>
      </c>
      <c r="I195" s="119" t="s">
        <v>476</v>
      </c>
    </row>
    <row r="196" ht="30" customHeight="1" spans="1:9" x14ac:dyDescent="0.25">
      <c r="A196" s="117">
        <v>192</v>
      </c>
      <c r="B196" s="118" t="s">
        <v>477</v>
      </c>
      <c r="C196" s="118" t="s">
        <v>352</v>
      </c>
      <c r="D196" s="118" t="s">
        <v>103</v>
      </c>
      <c r="E196" s="118" t="s">
        <v>100</v>
      </c>
      <c r="F196" s="118" t="s">
        <v>101</v>
      </c>
      <c r="G196" s="118" t="s">
        <v>102</v>
      </c>
      <c r="H196" s="118" t="s">
        <v>103</v>
      </c>
      <c r="I196" s="119" t="s">
        <v>478</v>
      </c>
    </row>
    <row r="197" ht="75" customHeight="1" spans="1:9" x14ac:dyDescent="0.25">
      <c r="A197" s="117">
        <v>193</v>
      </c>
      <c r="B197" s="118" t="s">
        <v>479</v>
      </c>
      <c r="C197" s="118" t="s">
        <v>480</v>
      </c>
      <c r="D197" s="118" t="s">
        <v>111</v>
      </c>
      <c r="E197" s="118" t="s">
        <v>100</v>
      </c>
      <c r="F197" s="118" t="s">
        <v>101</v>
      </c>
      <c r="G197" s="118" t="s">
        <v>111</v>
      </c>
      <c r="H197" s="118" t="s">
        <v>112</v>
      </c>
      <c r="I197" s="119" t="s">
        <v>481</v>
      </c>
    </row>
    <row r="198" ht="90" customHeight="1" spans="1:9" x14ac:dyDescent="0.25">
      <c r="A198" s="117">
        <v>194</v>
      </c>
      <c r="B198" s="118" t="s">
        <v>482</v>
      </c>
      <c r="C198" s="118" t="s">
        <v>483</v>
      </c>
      <c r="D198" s="118" t="s">
        <v>103</v>
      </c>
      <c r="E198" s="118" t="s">
        <v>100</v>
      </c>
      <c r="F198" s="118" t="s">
        <v>101</v>
      </c>
      <c r="G198" s="118" t="s">
        <v>103</v>
      </c>
      <c r="H198" s="118" t="s">
        <v>103</v>
      </c>
      <c r="I198" s="119" t="s">
        <v>484</v>
      </c>
    </row>
    <row r="199" ht="45" customHeight="1" spans="1:9" x14ac:dyDescent="0.25">
      <c r="A199" s="117">
        <v>195</v>
      </c>
      <c r="B199" s="118" t="s">
        <v>485</v>
      </c>
      <c r="C199" s="118" t="s">
        <v>125</v>
      </c>
      <c r="D199" s="118" t="s">
        <v>111</v>
      </c>
      <c r="E199" s="118" t="s">
        <v>100</v>
      </c>
      <c r="F199" s="118" t="s">
        <v>110</v>
      </c>
      <c r="G199" s="118" t="s">
        <v>111</v>
      </c>
      <c r="H199" s="118" t="s">
        <v>112</v>
      </c>
      <c r="I199" s="119" t="s">
        <v>486</v>
      </c>
    </row>
    <row r="200" ht="60" customHeight="1" spans="1:9" x14ac:dyDescent="0.25">
      <c r="A200" s="117">
        <v>196</v>
      </c>
      <c r="B200" s="118" t="s">
        <v>487</v>
      </c>
      <c r="C200" s="118" t="s">
        <v>488</v>
      </c>
      <c r="D200" s="118" t="s">
        <v>111</v>
      </c>
      <c r="E200" s="118" t="s">
        <v>100</v>
      </c>
      <c r="F200" s="118" t="s">
        <v>110</v>
      </c>
      <c r="G200" s="118" t="s">
        <v>111</v>
      </c>
      <c r="H200" s="118" t="s">
        <v>112</v>
      </c>
      <c r="I200" s="119" t="s">
        <v>157</v>
      </c>
    </row>
    <row r="201" ht="75" customHeight="1" spans="1:9" x14ac:dyDescent="0.25">
      <c r="A201" s="117">
        <v>197</v>
      </c>
      <c r="B201" s="118" t="s">
        <v>489</v>
      </c>
      <c r="C201" s="118" t="s">
        <v>380</v>
      </c>
      <c r="D201" s="118" t="s">
        <v>111</v>
      </c>
      <c r="E201" s="118" t="s">
        <v>100</v>
      </c>
      <c r="F201" s="118" t="s">
        <v>110</v>
      </c>
      <c r="G201" s="118" t="s">
        <v>111</v>
      </c>
      <c r="H201" s="118" t="s">
        <v>112</v>
      </c>
      <c r="I201" s="119" t="s">
        <v>490</v>
      </c>
    </row>
    <row r="202" ht="60" customHeight="1" spans="1:9" x14ac:dyDescent="0.25">
      <c r="A202" s="117">
        <v>198</v>
      </c>
      <c r="B202" s="118" t="s">
        <v>491</v>
      </c>
      <c r="C202" s="118" t="s">
        <v>109</v>
      </c>
      <c r="D202" s="118" t="s">
        <v>111</v>
      </c>
      <c r="E202" s="118" t="s">
        <v>100</v>
      </c>
      <c r="F202" s="118" t="s">
        <v>101</v>
      </c>
      <c r="G202" s="118" t="s">
        <v>111</v>
      </c>
      <c r="H202" s="118" t="s">
        <v>112</v>
      </c>
      <c r="I202" s="119" t="s">
        <v>492</v>
      </c>
    </row>
    <row r="203" ht="45" customHeight="1" spans="1:9" x14ac:dyDescent="0.25">
      <c r="A203" s="117">
        <v>199</v>
      </c>
      <c r="B203" s="118" t="s">
        <v>493</v>
      </c>
      <c r="C203" s="118" t="s">
        <v>103</v>
      </c>
      <c r="D203" s="118" t="s">
        <v>99</v>
      </c>
      <c r="E203" s="118" t="s">
        <v>100</v>
      </c>
      <c r="F203" s="118" t="s">
        <v>101</v>
      </c>
      <c r="G203" s="118" t="s">
        <v>102</v>
      </c>
      <c r="H203" s="118" t="s">
        <v>112</v>
      </c>
      <c r="I203" s="119" t="s">
        <v>494</v>
      </c>
    </row>
    <row r="204" ht="45" customHeight="1" spans="1:9" x14ac:dyDescent="0.25">
      <c r="A204" s="117">
        <v>200</v>
      </c>
      <c r="B204" s="118" t="s">
        <v>495</v>
      </c>
      <c r="C204" s="118" t="s">
        <v>109</v>
      </c>
      <c r="D204" s="118" t="s">
        <v>140</v>
      </c>
      <c r="E204" s="118" t="s">
        <v>100</v>
      </c>
      <c r="F204" s="118" t="s">
        <v>110</v>
      </c>
      <c r="G204" s="118" t="s">
        <v>102</v>
      </c>
      <c r="H204" s="118" t="s">
        <v>496</v>
      </c>
      <c r="I204" s="119" t="s">
        <v>497</v>
      </c>
    </row>
    <row r="205" ht="45" customHeight="1" spans="1:9" x14ac:dyDescent="0.25">
      <c r="A205" s="117">
        <v>201</v>
      </c>
      <c r="B205" s="118" t="s">
        <v>498</v>
      </c>
      <c r="C205" s="118" t="s">
        <v>109</v>
      </c>
      <c r="D205" s="118" t="s">
        <v>140</v>
      </c>
      <c r="E205" s="118" t="s">
        <v>100</v>
      </c>
      <c r="F205" s="118" t="s">
        <v>110</v>
      </c>
      <c r="G205" s="118" t="s">
        <v>102</v>
      </c>
      <c r="H205" s="118" t="s">
        <v>103</v>
      </c>
      <c r="I205" s="119" t="s">
        <v>499</v>
      </c>
    </row>
    <row r="206" ht="45" customHeight="1" spans="1:9" x14ac:dyDescent="0.25">
      <c r="A206" s="117">
        <v>202</v>
      </c>
      <c r="B206" s="118" t="s">
        <v>500</v>
      </c>
      <c r="C206" s="118" t="s">
        <v>109</v>
      </c>
      <c r="D206" s="118" t="s">
        <v>140</v>
      </c>
      <c r="E206" s="118" t="s">
        <v>100</v>
      </c>
      <c r="F206" s="118" t="s">
        <v>110</v>
      </c>
      <c r="G206" s="118" t="s">
        <v>102</v>
      </c>
      <c r="H206" s="118" t="s">
        <v>103</v>
      </c>
      <c r="I206" s="119" t="s">
        <v>501</v>
      </c>
    </row>
    <row r="207" spans="1:9" x14ac:dyDescent="0.25">
      <c r="A207" s="117">
        <v>203</v>
      </c>
      <c r="B207" s="118" t="s">
        <v>502</v>
      </c>
      <c r="C207" s="118" t="s">
        <v>125</v>
      </c>
      <c r="D207" s="118" t="s">
        <v>99</v>
      </c>
      <c r="E207" s="118" t="s">
        <v>100</v>
      </c>
      <c r="F207" s="118" t="s">
        <v>101</v>
      </c>
      <c r="G207" s="118" t="s">
        <v>102</v>
      </c>
      <c r="H207" s="118" t="s">
        <v>103</v>
      </c>
      <c r="I207" s="119"/>
    </row>
    <row r="208" ht="60" customHeight="1" spans="1:9" x14ac:dyDescent="0.25">
      <c r="A208" s="117">
        <v>204</v>
      </c>
      <c r="B208" s="118" t="s">
        <v>503</v>
      </c>
      <c r="C208" s="118" t="s">
        <v>352</v>
      </c>
      <c r="D208" s="118" t="s">
        <v>103</v>
      </c>
      <c r="E208" s="118" t="s">
        <v>100</v>
      </c>
      <c r="F208" s="118" t="s">
        <v>101</v>
      </c>
      <c r="G208" s="118" t="s">
        <v>102</v>
      </c>
      <c r="H208" s="118" t="s">
        <v>103</v>
      </c>
      <c r="I208" s="119" t="s">
        <v>504</v>
      </c>
    </row>
    <row r="209" ht="45" customHeight="1" spans="1:9" x14ac:dyDescent="0.25">
      <c r="A209" s="117">
        <v>205</v>
      </c>
      <c r="B209" s="118" t="s">
        <v>505</v>
      </c>
      <c r="C209" s="118" t="s">
        <v>125</v>
      </c>
      <c r="D209" s="118" t="s">
        <v>99</v>
      </c>
      <c r="E209" s="118" t="s">
        <v>100</v>
      </c>
      <c r="F209" s="118" t="s">
        <v>101</v>
      </c>
      <c r="G209" s="118" t="s">
        <v>102</v>
      </c>
      <c r="H209" s="118" t="s">
        <v>112</v>
      </c>
      <c r="I209" s="119" t="s">
        <v>506</v>
      </c>
    </row>
    <row r="210" ht="45" customHeight="1" spans="1:9" x14ac:dyDescent="0.25">
      <c r="A210" s="117">
        <v>206</v>
      </c>
      <c r="B210" s="118" t="s">
        <v>507</v>
      </c>
      <c r="C210" s="118" t="s">
        <v>125</v>
      </c>
      <c r="D210" s="118" t="s">
        <v>99</v>
      </c>
      <c r="E210" s="118" t="s">
        <v>100</v>
      </c>
      <c r="F210" s="118" t="s">
        <v>101</v>
      </c>
      <c r="G210" s="118" t="s">
        <v>102</v>
      </c>
      <c r="H210" s="118" t="s">
        <v>112</v>
      </c>
      <c r="I210" s="119" t="s">
        <v>508</v>
      </c>
    </row>
    <row r="211" ht="105" customHeight="1" spans="1:9" x14ac:dyDescent="0.25">
      <c r="A211" s="117">
        <v>207</v>
      </c>
      <c r="B211" s="118" t="s">
        <v>509</v>
      </c>
      <c r="C211" s="118" t="s">
        <v>103</v>
      </c>
      <c r="D211" s="118" t="s">
        <v>99</v>
      </c>
      <c r="E211" s="118" t="s">
        <v>100</v>
      </c>
      <c r="F211" s="118" t="s">
        <v>110</v>
      </c>
      <c r="G211" s="118" t="s">
        <v>102</v>
      </c>
      <c r="H211" s="118" t="s">
        <v>112</v>
      </c>
      <c r="I211" s="119" t="s">
        <v>510</v>
      </c>
    </row>
    <row r="212" ht="60" customHeight="1" spans="1:9" x14ac:dyDescent="0.25">
      <c r="A212" s="117">
        <v>208</v>
      </c>
      <c r="B212" s="118" t="s">
        <v>511</v>
      </c>
      <c r="C212" s="118" t="s">
        <v>103</v>
      </c>
      <c r="D212" s="118" t="s">
        <v>99</v>
      </c>
      <c r="E212" s="118" t="s">
        <v>100</v>
      </c>
      <c r="F212" s="118" t="s">
        <v>110</v>
      </c>
      <c r="G212" s="118" t="s">
        <v>102</v>
      </c>
      <c r="H212" s="118" t="s">
        <v>112</v>
      </c>
      <c r="I212" s="119"/>
    </row>
    <row r="213" ht="45" customHeight="1" spans="1:9" x14ac:dyDescent="0.25">
      <c r="A213" s="117">
        <v>209</v>
      </c>
      <c r="B213" s="118" t="s">
        <v>512</v>
      </c>
      <c r="C213" s="118" t="s">
        <v>103</v>
      </c>
      <c r="D213" s="118" t="s">
        <v>99</v>
      </c>
      <c r="E213" s="118" t="s">
        <v>100</v>
      </c>
      <c r="F213" s="118" t="s">
        <v>110</v>
      </c>
      <c r="G213" s="118" t="s">
        <v>102</v>
      </c>
      <c r="H213" s="118" t="s">
        <v>112</v>
      </c>
      <c r="I213" s="119"/>
    </row>
    <row r="214" ht="45" customHeight="1" spans="1:9" x14ac:dyDescent="0.25">
      <c r="A214" s="117">
        <v>210</v>
      </c>
      <c r="B214" s="118" t="s">
        <v>513</v>
      </c>
      <c r="C214" s="118" t="s">
        <v>103</v>
      </c>
      <c r="D214" s="118" t="s">
        <v>99</v>
      </c>
      <c r="E214" s="118" t="s">
        <v>100</v>
      </c>
      <c r="F214" s="118" t="s">
        <v>110</v>
      </c>
      <c r="G214" s="118" t="s">
        <v>102</v>
      </c>
      <c r="H214" s="118" t="s">
        <v>112</v>
      </c>
      <c r="I214" s="119"/>
    </row>
    <row r="215" ht="45" customHeight="1" spans="1:9" x14ac:dyDescent="0.25">
      <c r="A215" s="117">
        <v>211</v>
      </c>
      <c r="B215" s="118" t="s">
        <v>514</v>
      </c>
      <c r="C215" s="118" t="s">
        <v>515</v>
      </c>
      <c r="D215" s="118" t="s">
        <v>106</v>
      </c>
      <c r="E215" s="118" t="s">
        <v>100</v>
      </c>
      <c r="F215" s="118" t="s">
        <v>110</v>
      </c>
      <c r="G215" s="118" t="s">
        <v>102</v>
      </c>
      <c r="H215" s="118" t="s">
        <v>103</v>
      </c>
      <c r="I215" s="119" t="s">
        <v>516</v>
      </c>
    </row>
    <row r="216" ht="45" customHeight="1" spans="1:9" x14ac:dyDescent="0.25">
      <c r="A216" s="117">
        <v>212</v>
      </c>
      <c r="B216" s="118" t="s">
        <v>517</v>
      </c>
      <c r="C216" s="118" t="s">
        <v>125</v>
      </c>
      <c r="D216" s="118" t="s">
        <v>99</v>
      </c>
      <c r="E216" s="118" t="s">
        <v>100</v>
      </c>
      <c r="F216" s="118" t="s">
        <v>101</v>
      </c>
      <c r="G216" s="118" t="s">
        <v>102</v>
      </c>
      <c r="H216" s="118" t="s">
        <v>112</v>
      </c>
      <c r="I216" s="119" t="s">
        <v>518</v>
      </c>
    </row>
    <row r="217" ht="60" customHeight="1" spans="1:9" x14ac:dyDescent="0.25">
      <c r="A217" s="117">
        <v>213</v>
      </c>
      <c r="B217" s="118" t="s">
        <v>519</v>
      </c>
      <c r="C217" s="118" t="s">
        <v>109</v>
      </c>
      <c r="D217" s="118" t="s">
        <v>99</v>
      </c>
      <c r="E217" s="118" t="s">
        <v>100</v>
      </c>
      <c r="F217" s="118" t="s">
        <v>101</v>
      </c>
      <c r="G217" s="118" t="s">
        <v>102</v>
      </c>
      <c r="H217" s="118" t="s">
        <v>103</v>
      </c>
      <c r="I217" s="119" t="s">
        <v>520</v>
      </c>
    </row>
    <row r="218" ht="45" customHeight="1" spans="1:9" x14ac:dyDescent="0.25">
      <c r="A218" s="117">
        <v>214</v>
      </c>
      <c r="B218" s="118" t="s">
        <v>521</v>
      </c>
      <c r="C218" s="118" t="s">
        <v>116</v>
      </c>
      <c r="D218" s="118" t="s">
        <v>99</v>
      </c>
      <c r="E218" s="118" t="s">
        <v>100</v>
      </c>
      <c r="F218" s="118" t="s">
        <v>101</v>
      </c>
      <c r="G218" s="118" t="s">
        <v>102</v>
      </c>
      <c r="H218" s="118" t="s">
        <v>112</v>
      </c>
      <c r="I218" s="119" t="s">
        <v>522</v>
      </c>
    </row>
    <row r="219" ht="45" customHeight="1" spans="1:9" x14ac:dyDescent="0.25">
      <c r="A219" s="117">
        <v>215</v>
      </c>
      <c r="B219" s="118" t="s">
        <v>523</v>
      </c>
      <c r="C219" s="118" t="s">
        <v>109</v>
      </c>
      <c r="D219" s="118" t="s">
        <v>111</v>
      </c>
      <c r="E219" s="118" t="s">
        <v>100</v>
      </c>
      <c r="F219" s="118" t="s">
        <v>101</v>
      </c>
      <c r="G219" s="118" t="s">
        <v>111</v>
      </c>
      <c r="H219" s="118" t="s">
        <v>112</v>
      </c>
      <c r="I219" s="119" t="s">
        <v>524</v>
      </c>
    </row>
    <row r="220" ht="45" customHeight="1" spans="1:9" x14ac:dyDescent="0.25">
      <c r="A220" s="117">
        <v>216</v>
      </c>
      <c r="B220" s="118" t="s">
        <v>525</v>
      </c>
      <c r="C220" s="118" t="s">
        <v>243</v>
      </c>
      <c r="D220" s="118" t="s">
        <v>103</v>
      </c>
      <c r="E220" s="118" t="s">
        <v>100</v>
      </c>
      <c r="F220" s="118" t="s">
        <v>101</v>
      </c>
      <c r="G220" s="118" t="s">
        <v>102</v>
      </c>
      <c r="H220" s="118" t="s">
        <v>103</v>
      </c>
      <c r="I220" s="119"/>
    </row>
    <row r="221" ht="45" customHeight="1" spans="1:9" x14ac:dyDescent="0.25">
      <c r="A221" s="117">
        <v>217</v>
      </c>
      <c r="B221" s="118" t="s">
        <v>526</v>
      </c>
      <c r="C221" s="118" t="s">
        <v>527</v>
      </c>
      <c r="D221" s="118" t="s">
        <v>106</v>
      </c>
      <c r="E221" s="118" t="s">
        <v>100</v>
      </c>
      <c r="F221" s="118" t="s">
        <v>110</v>
      </c>
      <c r="G221" s="118" t="s">
        <v>102</v>
      </c>
      <c r="H221" s="118" t="s">
        <v>103</v>
      </c>
      <c r="I221" s="119"/>
    </row>
    <row r="222" ht="45" customHeight="1" spans="1:9" x14ac:dyDescent="0.25">
      <c r="A222" s="117">
        <v>218</v>
      </c>
      <c r="B222" s="118" t="s">
        <v>528</v>
      </c>
      <c r="C222" s="118" t="s">
        <v>103</v>
      </c>
      <c r="D222" s="118" t="s">
        <v>103</v>
      </c>
      <c r="E222" s="118" t="s">
        <v>100</v>
      </c>
      <c r="F222" s="118" t="s">
        <v>103</v>
      </c>
      <c r="G222" s="118" t="s">
        <v>103</v>
      </c>
      <c r="H222" s="118" t="s">
        <v>103</v>
      </c>
      <c r="I222" s="119" t="s">
        <v>103</v>
      </c>
    </row>
    <row r="223" ht="30" customHeight="1" spans="1:9" x14ac:dyDescent="0.25">
      <c r="A223" s="117">
        <v>219</v>
      </c>
      <c r="B223" s="118" t="s">
        <v>529</v>
      </c>
      <c r="C223" s="118" t="s">
        <v>530</v>
      </c>
      <c r="D223" s="118" t="s">
        <v>111</v>
      </c>
      <c r="E223" s="118" t="s">
        <v>100</v>
      </c>
      <c r="F223" s="118" t="s">
        <v>101</v>
      </c>
      <c r="G223" s="118" t="s">
        <v>111</v>
      </c>
      <c r="H223" s="118" t="s">
        <v>112</v>
      </c>
      <c r="I223" s="119" t="s">
        <v>531</v>
      </c>
    </row>
    <row r="224" spans="1:9" x14ac:dyDescent="0.25">
      <c r="A224" s="117">
        <v>220</v>
      </c>
      <c r="B224" s="118" t="s">
        <v>532</v>
      </c>
      <c r="C224" s="118" t="s">
        <v>109</v>
      </c>
      <c r="D224" s="118" t="s">
        <v>103</v>
      </c>
      <c r="E224" s="118" t="s">
        <v>100</v>
      </c>
      <c r="F224" s="118" t="s">
        <v>101</v>
      </c>
      <c r="G224" s="118" t="s">
        <v>102</v>
      </c>
      <c r="H224" s="118" t="s">
        <v>103</v>
      </c>
      <c r="I224" s="119" t="s">
        <v>103</v>
      </c>
    </row>
    <row r="225" ht="30" customHeight="1" spans="1:9" x14ac:dyDescent="0.25">
      <c r="A225" s="117">
        <v>221</v>
      </c>
      <c r="B225" s="118" t="s">
        <v>533</v>
      </c>
      <c r="C225" s="118" t="s">
        <v>103</v>
      </c>
      <c r="D225" s="118" t="s">
        <v>103</v>
      </c>
      <c r="E225" s="118" t="s">
        <v>100</v>
      </c>
      <c r="F225" s="118" t="s">
        <v>101</v>
      </c>
      <c r="G225" s="118" t="s">
        <v>103</v>
      </c>
      <c r="H225" s="118" t="s">
        <v>103</v>
      </c>
      <c r="I225" s="119" t="s">
        <v>534</v>
      </c>
    </row>
    <row r="226" ht="75" customHeight="1" spans="1:9" x14ac:dyDescent="0.25">
      <c r="A226" s="117">
        <v>222</v>
      </c>
      <c r="B226" s="118" t="s">
        <v>535</v>
      </c>
      <c r="C226" s="118" t="s">
        <v>114</v>
      </c>
      <c r="D226" s="118" t="s">
        <v>123</v>
      </c>
      <c r="E226" s="118" t="s">
        <v>100</v>
      </c>
      <c r="F226" s="118" t="s">
        <v>101</v>
      </c>
      <c r="G226" s="118" t="s">
        <v>102</v>
      </c>
      <c r="H226" s="118" t="s">
        <v>103</v>
      </c>
      <c r="I226" s="119" t="s">
        <v>536</v>
      </c>
    </row>
    <row r="227" ht="30" customHeight="1" spans="1:9" x14ac:dyDescent="0.25">
      <c r="A227" s="117">
        <v>223</v>
      </c>
      <c r="B227" s="118" t="s">
        <v>537</v>
      </c>
      <c r="C227" s="118" t="s">
        <v>114</v>
      </c>
      <c r="D227" s="118" t="s">
        <v>111</v>
      </c>
      <c r="E227" s="118" t="s">
        <v>100</v>
      </c>
      <c r="F227" s="118" t="s">
        <v>101</v>
      </c>
      <c r="G227" s="118" t="s">
        <v>111</v>
      </c>
      <c r="H227" s="118" t="s">
        <v>112</v>
      </c>
      <c r="I227" s="119"/>
    </row>
    <row r="228" ht="75" customHeight="1" spans="1:9" x14ac:dyDescent="0.25">
      <c r="A228" s="117">
        <v>224</v>
      </c>
      <c r="B228" s="118" t="s">
        <v>538</v>
      </c>
      <c r="C228" s="118" t="s">
        <v>199</v>
      </c>
      <c r="D228" s="118" t="s">
        <v>111</v>
      </c>
      <c r="E228" s="118" t="s">
        <v>100</v>
      </c>
      <c r="F228" s="118" t="s">
        <v>110</v>
      </c>
      <c r="G228" s="118" t="s">
        <v>111</v>
      </c>
      <c r="H228" s="118" t="s">
        <v>112</v>
      </c>
      <c r="I228" s="119" t="s">
        <v>539</v>
      </c>
    </row>
    <row r="229" ht="105" customHeight="1" spans="1:9" x14ac:dyDescent="0.25">
      <c r="A229" s="117">
        <v>225</v>
      </c>
      <c r="B229" s="118" t="s">
        <v>540</v>
      </c>
      <c r="C229" s="118" t="s">
        <v>109</v>
      </c>
      <c r="D229" s="118" t="s">
        <v>123</v>
      </c>
      <c r="E229" s="118" t="s">
        <v>100</v>
      </c>
      <c r="F229" s="118" t="s">
        <v>110</v>
      </c>
      <c r="G229" s="118" t="s">
        <v>102</v>
      </c>
      <c r="H229" s="118" t="s">
        <v>103</v>
      </c>
      <c r="I229" s="119" t="s">
        <v>541</v>
      </c>
    </row>
    <row r="230" ht="60" customHeight="1" spans="1:9" x14ac:dyDescent="0.25">
      <c r="A230" s="117">
        <v>226</v>
      </c>
      <c r="B230" s="118" t="s">
        <v>542</v>
      </c>
      <c r="C230" s="118" t="s">
        <v>109</v>
      </c>
      <c r="D230" s="118" t="s">
        <v>99</v>
      </c>
      <c r="E230" s="118" t="s">
        <v>100</v>
      </c>
      <c r="F230" s="118" t="s">
        <v>101</v>
      </c>
      <c r="G230" s="118" t="s">
        <v>102</v>
      </c>
      <c r="H230" s="118" t="s">
        <v>103</v>
      </c>
      <c r="I230" s="119" t="s">
        <v>543</v>
      </c>
    </row>
    <row r="231" ht="75" customHeight="1" spans="1:9" x14ac:dyDescent="0.25">
      <c r="A231" s="117">
        <v>227</v>
      </c>
      <c r="B231" s="118" t="s">
        <v>544</v>
      </c>
      <c r="C231" s="118" t="s">
        <v>545</v>
      </c>
      <c r="D231" s="118" t="s">
        <v>99</v>
      </c>
      <c r="E231" s="118" t="s">
        <v>100</v>
      </c>
      <c r="F231" s="118" t="s">
        <v>101</v>
      </c>
      <c r="G231" s="118" t="s">
        <v>102</v>
      </c>
      <c r="H231" s="118" t="s">
        <v>103</v>
      </c>
      <c r="I231" s="119" t="s">
        <v>546</v>
      </c>
    </row>
    <row r="232" ht="45" customHeight="1" spans="1:9" x14ac:dyDescent="0.25">
      <c r="A232" s="117">
        <v>228</v>
      </c>
      <c r="B232" s="118" t="s">
        <v>547</v>
      </c>
      <c r="C232" s="118" t="s">
        <v>103</v>
      </c>
      <c r="D232" s="118" t="s">
        <v>548</v>
      </c>
      <c r="E232" s="118" t="s">
        <v>100</v>
      </c>
      <c r="F232" s="118"/>
      <c r="G232" s="118"/>
      <c r="H232" s="118"/>
      <c r="I232" s="119"/>
    </row>
    <row r="233" ht="120" customHeight="1" spans="1:9" x14ac:dyDescent="0.25">
      <c r="A233" s="117">
        <v>229</v>
      </c>
      <c r="B233" s="118" t="s">
        <v>549</v>
      </c>
      <c r="C233" s="118" t="s">
        <v>152</v>
      </c>
      <c r="D233" s="118" t="s">
        <v>111</v>
      </c>
      <c r="E233" s="118" t="s">
        <v>100</v>
      </c>
      <c r="F233" s="118" t="s">
        <v>110</v>
      </c>
      <c r="G233" s="118" t="s">
        <v>111</v>
      </c>
      <c r="H233" s="118" t="s">
        <v>112</v>
      </c>
      <c r="I233" s="119" t="s">
        <v>550</v>
      </c>
    </row>
    <row r="234" ht="45" customHeight="1" spans="1:9" x14ac:dyDescent="0.25">
      <c r="A234" s="117">
        <v>230</v>
      </c>
      <c r="B234" s="118" t="s">
        <v>551</v>
      </c>
      <c r="C234" s="118" t="s">
        <v>109</v>
      </c>
      <c r="D234" s="118" t="s">
        <v>103</v>
      </c>
      <c r="E234" s="118" t="s">
        <v>100</v>
      </c>
      <c r="F234" s="118" t="s">
        <v>101</v>
      </c>
      <c r="G234" s="118" t="s">
        <v>102</v>
      </c>
      <c r="H234" s="118" t="s">
        <v>103</v>
      </c>
      <c r="I234" s="119" t="s">
        <v>552</v>
      </c>
    </row>
    <row r="235" ht="60" customHeight="1" spans="1:9" x14ac:dyDescent="0.25">
      <c r="A235" s="117">
        <v>231</v>
      </c>
      <c r="B235" s="118" t="s">
        <v>553</v>
      </c>
      <c r="C235" s="118" t="s">
        <v>554</v>
      </c>
      <c r="D235" s="118" t="s">
        <v>99</v>
      </c>
      <c r="E235" s="118" t="s">
        <v>100</v>
      </c>
      <c r="F235" s="118" t="s">
        <v>101</v>
      </c>
      <c r="G235" s="118" t="s">
        <v>102</v>
      </c>
      <c r="H235" s="118" t="s">
        <v>112</v>
      </c>
      <c r="I235" s="119" t="s">
        <v>555</v>
      </c>
    </row>
    <row r="236" ht="30" customHeight="1" spans="1:9" x14ac:dyDescent="0.25">
      <c r="A236" s="117">
        <v>232</v>
      </c>
      <c r="B236" s="118" t="s">
        <v>556</v>
      </c>
      <c r="C236" s="118" t="s">
        <v>362</v>
      </c>
      <c r="D236" s="118" t="s">
        <v>103</v>
      </c>
      <c r="E236" s="118" t="s">
        <v>100</v>
      </c>
      <c r="F236" s="118" t="s">
        <v>101</v>
      </c>
      <c r="G236" s="118" t="s">
        <v>102</v>
      </c>
      <c r="H236" s="118" t="s">
        <v>103</v>
      </c>
      <c r="I236" s="119"/>
    </row>
    <row r="237" ht="26.45" customHeight="1" spans="1:9" x14ac:dyDescent="0.25">
      <c r="A237" s="117">
        <v>233</v>
      </c>
      <c r="B237" s="118" t="s">
        <v>557</v>
      </c>
      <c r="C237" s="118" t="s">
        <v>103</v>
      </c>
      <c r="D237" s="118" t="s">
        <v>99</v>
      </c>
      <c r="E237" s="118" t="s">
        <v>100</v>
      </c>
      <c r="F237" s="118" t="s">
        <v>101</v>
      </c>
      <c r="G237" s="118" t="s">
        <v>111</v>
      </c>
      <c r="H237" s="118" t="s">
        <v>112</v>
      </c>
      <c r="I237" s="119"/>
    </row>
    <row r="238" ht="30" customHeight="1" spans="1:9" x14ac:dyDescent="0.25">
      <c r="A238" s="117">
        <v>234</v>
      </c>
      <c r="B238" s="118" t="s">
        <v>558</v>
      </c>
      <c r="C238" s="118" t="s">
        <v>114</v>
      </c>
      <c r="D238" s="118" t="s">
        <v>111</v>
      </c>
      <c r="E238" s="118" t="s">
        <v>100</v>
      </c>
      <c r="F238" s="118" t="s">
        <v>101</v>
      </c>
      <c r="G238" s="118" t="s">
        <v>111</v>
      </c>
      <c r="H238" s="118" t="s">
        <v>112</v>
      </c>
      <c r="I238" s="119"/>
    </row>
    <row r="239" ht="30" customHeight="1" spans="1:9" x14ac:dyDescent="0.25">
      <c r="A239" s="117">
        <v>235</v>
      </c>
      <c r="B239" s="118" t="s">
        <v>559</v>
      </c>
      <c r="C239" s="118" t="s">
        <v>99</v>
      </c>
      <c r="D239" s="118" t="s">
        <v>111</v>
      </c>
      <c r="E239" s="118" t="s">
        <v>100</v>
      </c>
      <c r="F239" s="118" t="s">
        <v>101</v>
      </c>
      <c r="G239" s="118" t="s">
        <v>111</v>
      </c>
      <c r="H239" s="118" t="s">
        <v>112</v>
      </c>
      <c r="I239" s="119"/>
    </row>
    <row r="240" ht="75" customHeight="1" spans="1:9" x14ac:dyDescent="0.25">
      <c r="A240" s="117">
        <v>236</v>
      </c>
      <c r="B240" s="118" t="s">
        <v>560</v>
      </c>
      <c r="C240" s="118" t="s">
        <v>106</v>
      </c>
      <c r="D240" s="118" t="s">
        <v>146</v>
      </c>
      <c r="E240" s="118" t="s">
        <v>100</v>
      </c>
      <c r="F240" s="118" t="s">
        <v>101</v>
      </c>
      <c r="G240" s="118" t="s">
        <v>102</v>
      </c>
      <c r="H240" s="118" t="s">
        <v>103</v>
      </c>
      <c r="I240" s="119" t="s">
        <v>561</v>
      </c>
    </row>
    <row r="241" ht="75" customHeight="1" spans="1:9" x14ac:dyDescent="0.25">
      <c r="A241" s="117">
        <v>237</v>
      </c>
      <c r="B241" s="118" t="s">
        <v>562</v>
      </c>
      <c r="C241" s="118" t="s">
        <v>106</v>
      </c>
      <c r="D241" s="118" t="s">
        <v>146</v>
      </c>
      <c r="E241" s="118" t="s">
        <v>100</v>
      </c>
      <c r="F241" s="118" t="s">
        <v>101</v>
      </c>
      <c r="G241" s="118" t="s">
        <v>102</v>
      </c>
      <c r="H241" s="118" t="s">
        <v>103</v>
      </c>
      <c r="I241" s="119" t="s">
        <v>561</v>
      </c>
    </row>
    <row r="242" ht="75" customHeight="1" spans="1:9" x14ac:dyDescent="0.25">
      <c r="A242" s="117">
        <v>238</v>
      </c>
      <c r="B242" s="118" t="s">
        <v>563</v>
      </c>
      <c r="C242" s="118" t="s">
        <v>106</v>
      </c>
      <c r="D242" s="118" t="s">
        <v>146</v>
      </c>
      <c r="E242" s="118" t="s">
        <v>100</v>
      </c>
      <c r="F242" s="118" t="s">
        <v>101</v>
      </c>
      <c r="G242" s="118" t="s">
        <v>102</v>
      </c>
      <c r="H242" s="118" t="s">
        <v>103</v>
      </c>
      <c r="I242" s="119" t="s">
        <v>564</v>
      </c>
    </row>
    <row r="243" spans="1:9" x14ac:dyDescent="0.25">
      <c r="A243" s="125"/>
      <c r="B243" s="118"/>
      <c r="C243" s="126"/>
      <c r="D243" s="126"/>
      <c r="E243" s="126"/>
      <c r="F243" s="126"/>
      <c r="G243" s="126"/>
      <c r="H243" s="126"/>
      <c r="I243" s="119"/>
    </row>
    <row r="244" spans="1:9" x14ac:dyDescent="0.25">
      <c r="A244" s="125"/>
      <c r="B244" s="118"/>
      <c r="C244" s="126"/>
      <c r="D244" s="126"/>
      <c r="E244" s="126"/>
      <c r="F244" s="126"/>
      <c r="G244" s="126"/>
      <c r="H244" s="126"/>
      <c r="I244" s="119"/>
    </row>
    <row r="245" spans="1:9" x14ac:dyDescent="0.25">
      <c r="A245" s="125"/>
      <c r="B245" s="118"/>
      <c r="C245" s="126"/>
      <c r="D245" s="126"/>
      <c r="E245" s="126"/>
      <c r="F245" s="126"/>
      <c r="G245" s="126"/>
      <c r="H245" s="126"/>
      <c r="I245" s="119"/>
    </row>
    <row r="246" spans="1:9" x14ac:dyDescent="0.25">
      <c r="A246" s="125"/>
      <c r="B246" s="118"/>
      <c r="C246" s="126"/>
      <c r="D246" s="126"/>
      <c r="E246" s="126"/>
      <c r="F246" s="126"/>
      <c r="G246" s="126"/>
      <c r="H246" s="126"/>
      <c r="I246" s="119"/>
    </row>
    <row r="247" spans="1:9" x14ac:dyDescent="0.25">
      <c r="A247" s="125"/>
      <c r="B247" s="118"/>
      <c r="C247" s="126"/>
      <c r="D247" s="126"/>
      <c r="E247" s="126"/>
      <c r="F247" s="126"/>
      <c r="G247" s="126"/>
      <c r="H247" s="126"/>
      <c r="I247" s="119"/>
    </row>
    <row r="248" spans="1:9" x14ac:dyDescent="0.25">
      <c r="A248" s="125"/>
      <c r="B248" s="118"/>
      <c r="C248" s="126"/>
      <c r="D248" s="126"/>
      <c r="E248" s="126"/>
      <c r="F248" s="126"/>
      <c r="G248" s="126"/>
      <c r="H248" s="126"/>
      <c r="I248" s="119"/>
    </row>
    <row r="249" spans="1:9" x14ac:dyDescent="0.25">
      <c r="A249" s="125"/>
      <c r="B249" s="118"/>
      <c r="C249" s="126"/>
      <c r="D249" s="126"/>
      <c r="E249" s="126"/>
      <c r="F249" s="126"/>
      <c r="G249" s="126"/>
      <c r="H249" s="126"/>
      <c r="I249" s="119"/>
    </row>
    <row r="250" spans="1:9" x14ac:dyDescent="0.25">
      <c r="A250" s="125"/>
      <c r="B250" s="118"/>
      <c r="C250" s="126"/>
      <c r="D250" s="126"/>
      <c r="E250" s="126"/>
      <c r="F250" s="126"/>
      <c r="G250" s="126"/>
      <c r="H250" s="126"/>
      <c r="I250" s="119"/>
    </row>
    <row r="251" spans="1:9" x14ac:dyDescent="0.25">
      <c r="A251" s="125"/>
      <c r="B251" s="118"/>
      <c r="C251" s="126"/>
      <c r="D251" s="126"/>
      <c r="E251" s="126"/>
      <c r="F251" s="126"/>
      <c r="G251" s="126"/>
      <c r="H251" s="126"/>
      <c r="I251" s="119"/>
    </row>
    <row r="252" spans="1:9" x14ac:dyDescent="0.25">
      <c r="A252" s="125"/>
      <c r="B252" s="118"/>
      <c r="C252" s="126"/>
      <c r="D252" s="126"/>
      <c r="E252" s="126"/>
      <c r="F252" s="126"/>
      <c r="G252" s="126"/>
      <c r="H252" s="126"/>
      <c r="I252" s="119"/>
    </row>
    <row r="253" spans="1:9" x14ac:dyDescent="0.25">
      <c r="A253" s="125"/>
      <c r="B253" s="118"/>
      <c r="C253" s="126"/>
      <c r="D253" s="126"/>
      <c r="E253" s="126"/>
      <c r="F253" s="126"/>
      <c r="G253" s="126"/>
      <c r="H253" s="126"/>
      <c r="I253" s="119"/>
    </row>
    <row r="254" spans="1:9" x14ac:dyDescent="0.25">
      <c r="A254" s="125"/>
      <c r="B254" s="118"/>
      <c r="C254" s="126"/>
      <c r="D254" s="126"/>
      <c r="E254" s="126"/>
      <c r="F254" s="126"/>
      <c r="G254" s="126"/>
      <c r="H254" s="126"/>
      <c r="I254" s="119"/>
    </row>
    <row r="255" spans="1:9" x14ac:dyDescent="0.25">
      <c r="A255" s="125"/>
      <c r="B255" s="118"/>
      <c r="C255" s="126"/>
      <c r="D255" s="126"/>
      <c r="E255" s="126"/>
      <c r="F255" s="126"/>
      <c r="G255" s="126"/>
      <c r="H255" s="126"/>
      <c r="I255" s="119"/>
    </row>
    <row r="256" spans="1:9" x14ac:dyDescent="0.25">
      <c r="A256" s="125"/>
      <c r="B256" s="118"/>
      <c r="C256" s="126"/>
      <c r="D256" s="126"/>
      <c r="E256" s="126"/>
      <c r="F256" s="126"/>
      <c r="G256" s="126"/>
      <c r="H256" s="126"/>
      <c r="I256" s="119"/>
    </row>
    <row r="257" spans="1:9" x14ac:dyDescent="0.25">
      <c r="A257" s="125"/>
      <c r="B257" s="118"/>
      <c r="C257" s="126"/>
      <c r="D257" s="126"/>
      <c r="E257" s="126"/>
      <c r="F257" s="126"/>
      <c r="G257" s="126"/>
      <c r="H257" s="126"/>
      <c r="I257" s="119"/>
    </row>
    <row r="258" spans="1:9" x14ac:dyDescent="0.25">
      <c r="A258" s="125"/>
      <c r="B258" s="118"/>
      <c r="C258" s="126"/>
      <c r="D258" s="126"/>
      <c r="E258" s="126"/>
      <c r="F258" s="126"/>
      <c r="G258" s="126"/>
      <c r="H258" s="126"/>
      <c r="I258" s="119"/>
    </row>
    <row r="259" spans="1:9" x14ac:dyDescent="0.25">
      <c r="A259" s="125"/>
      <c r="B259" s="118"/>
      <c r="C259" s="126"/>
      <c r="D259" s="126"/>
      <c r="E259" s="126"/>
      <c r="F259" s="126"/>
      <c r="G259" s="126"/>
      <c r="H259" s="126"/>
      <c r="I259" s="119"/>
    </row>
    <row r="260" spans="1:9" x14ac:dyDescent="0.25">
      <c r="A260" s="125"/>
      <c r="B260" s="118"/>
      <c r="C260" s="126"/>
      <c r="D260" s="126"/>
      <c r="E260" s="126"/>
      <c r="F260" s="126"/>
      <c r="G260" s="126"/>
      <c r="H260" s="126"/>
      <c r="I260" s="119"/>
    </row>
    <row r="261" spans="1:9" x14ac:dyDescent="0.25">
      <c r="A261" s="125"/>
      <c r="B261" s="118"/>
      <c r="C261" s="126"/>
      <c r="D261" s="126"/>
      <c r="E261" s="126"/>
      <c r="F261" s="126"/>
      <c r="G261" s="126"/>
      <c r="H261" s="126"/>
      <c r="I261" s="119"/>
    </row>
  </sheetData>
  <sheetProtection sheet="1" algorithmName="SHA-512" hashValue="3UWCXzB4rFQ5tfJsP4k4PeKBV7JWO7XIB4whSZuH1luGDF1dlJ89/FLlDTN5fJbRARjPxGB0emWPtPAzt54xKA==" saltValue="yskXG7r6PUyQffQfCT1jVA==" spinCount="100000" objects="1" scenarios="1"/>
  <autoFilter ref="A4:I242"/>
  <mergeCells count="2">
    <mergeCell ref="A1:I1"/>
    <mergeCell ref="C3:D3"/>
  </mergeCells>
  <pageMargins left="0.511811024" right="0.511811024" top="0.787401575" bottom="0.787401575" header="0.31496062" footer="0.31496062"/>
  <pageSetup paperSize="9" orientation="portrait" horizontalDpi="4294967295" verticalDpi="4294967295" scale="100" fitToWidth="1" fitToHeight="1" firstPageNumber="1" useFirstPageNumber="1" copies="1"/>
  <headerFooter>
    <oddFooter>&amp;C&amp;1#&amp;"Calibri"&amp;12&amp;K008000Internal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0"/>
  <sheetViews>
    <sheetView workbookViewId="0" showGridLines="0" zoomScale="80" zoomScaleNormal="80">
      <selection activeCell="G18" sqref="G18"/>
    </sheetView>
  </sheetViews>
  <sheetFormatPr defaultRowHeight="15" outlineLevelRow="0" outlineLevelCol="0" x14ac:dyDescent="0.25" defaultColWidth="9.140625"/>
  <cols>
    <col min="1" max="1" width="10.28515625" customWidth="1"/>
    <col min="2" max="2" width="16.7109375" customWidth="1"/>
    <col min="3" max="3" width="22.5703125" style="1" customWidth="1"/>
    <col min="4" max="5" width="9.140625" style="2" customWidth="1"/>
    <col min="6" max="6" width="23.28515625" style="2" customWidth="1"/>
    <col min="7" max="7" width="98.85546875" customWidth="1"/>
    <col min="8" max="8" width="21.28515625" customWidth="1"/>
    <col min="9" max="9" width="18.5703125" customWidth="1"/>
    <col min="258" max="258" width="6.42578125" customWidth="1"/>
    <col min="259" max="259" width="13.85546875" customWidth="1"/>
    <col min="260" max="260" width="22.5703125" customWidth="1"/>
    <col min="263" max="263" width="80" customWidth="1"/>
    <col min="264" max="264" width="10.28515625" customWidth="1"/>
    <col min="265" max="265" width="8.140625" customWidth="1"/>
    <col min="514" max="514" width="6.42578125" customWidth="1"/>
    <col min="515" max="515" width="13.85546875" customWidth="1"/>
    <col min="516" max="516" width="22.5703125" customWidth="1"/>
    <col min="519" max="519" width="80" customWidth="1"/>
    <col min="520" max="520" width="10.28515625" customWidth="1"/>
    <col min="521" max="521" width="8.140625" customWidth="1"/>
    <col min="770" max="770" width="6.42578125" customWidth="1"/>
    <col min="771" max="771" width="13.85546875" customWidth="1"/>
    <col min="772" max="772" width="22.5703125" customWidth="1"/>
    <col min="775" max="775" width="80" customWidth="1"/>
    <col min="776" max="776" width="10.28515625" customWidth="1"/>
    <col min="777" max="777" width="8.140625" customWidth="1"/>
    <col min="1026" max="1026" width="6.42578125" customWidth="1"/>
    <col min="1027" max="1027" width="13.85546875" customWidth="1"/>
    <col min="1028" max="1028" width="22.5703125" customWidth="1"/>
    <col min="1031" max="1031" width="80" customWidth="1"/>
    <col min="1032" max="1032" width="10.28515625" customWidth="1"/>
    <col min="1033" max="1033" width="8.140625" customWidth="1"/>
    <col min="1282" max="1282" width="6.42578125" customWidth="1"/>
    <col min="1283" max="1283" width="13.85546875" customWidth="1"/>
    <col min="1284" max="1284" width="22.5703125" customWidth="1"/>
    <col min="1287" max="1287" width="80" customWidth="1"/>
    <col min="1288" max="1288" width="10.28515625" customWidth="1"/>
    <col min="1289" max="1289" width="8.140625" customWidth="1"/>
    <col min="1538" max="1538" width="6.42578125" customWidth="1"/>
    <col min="1539" max="1539" width="13.85546875" customWidth="1"/>
    <col min="1540" max="1540" width="22.5703125" customWidth="1"/>
    <col min="1543" max="1543" width="80" customWidth="1"/>
    <col min="1544" max="1544" width="10.28515625" customWidth="1"/>
    <col min="1545" max="1545" width="8.140625" customWidth="1"/>
    <col min="1794" max="1794" width="6.42578125" customWidth="1"/>
    <col min="1795" max="1795" width="13.85546875" customWidth="1"/>
    <col min="1796" max="1796" width="22.5703125" customWidth="1"/>
    <col min="1799" max="1799" width="80" customWidth="1"/>
    <col min="1800" max="1800" width="10.28515625" customWidth="1"/>
    <col min="1801" max="1801" width="8.140625" customWidth="1"/>
    <col min="2050" max="2050" width="6.42578125" customWidth="1"/>
    <col min="2051" max="2051" width="13.85546875" customWidth="1"/>
    <col min="2052" max="2052" width="22.5703125" customWidth="1"/>
    <col min="2055" max="2055" width="80" customWidth="1"/>
    <col min="2056" max="2056" width="10.28515625" customWidth="1"/>
    <col min="2057" max="2057" width="8.140625" customWidth="1"/>
    <col min="2306" max="2306" width="6.42578125" customWidth="1"/>
    <col min="2307" max="2307" width="13.85546875" customWidth="1"/>
    <col min="2308" max="2308" width="22.5703125" customWidth="1"/>
    <col min="2311" max="2311" width="80" customWidth="1"/>
    <col min="2312" max="2312" width="10.28515625" customWidth="1"/>
    <col min="2313" max="2313" width="8.140625" customWidth="1"/>
    <col min="2562" max="2562" width="6.42578125" customWidth="1"/>
    <col min="2563" max="2563" width="13.85546875" customWidth="1"/>
    <col min="2564" max="2564" width="22.5703125" customWidth="1"/>
    <col min="2567" max="2567" width="80" customWidth="1"/>
    <col min="2568" max="2568" width="10.28515625" customWidth="1"/>
    <col min="2569" max="2569" width="8.140625" customWidth="1"/>
    <col min="2818" max="2818" width="6.42578125" customWidth="1"/>
    <col min="2819" max="2819" width="13.85546875" customWidth="1"/>
    <col min="2820" max="2820" width="22.5703125" customWidth="1"/>
    <col min="2823" max="2823" width="80" customWidth="1"/>
    <col min="2824" max="2824" width="10.28515625" customWidth="1"/>
    <col min="2825" max="2825" width="8.140625" customWidth="1"/>
    <col min="3074" max="3074" width="6.42578125" customWidth="1"/>
    <col min="3075" max="3075" width="13.85546875" customWidth="1"/>
    <col min="3076" max="3076" width="22.5703125" customWidth="1"/>
    <col min="3079" max="3079" width="80" customWidth="1"/>
    <col min="3080" max="3080" width="10.28515625" customWidth="1"/>
    <col min="3081" max="3081" width="8.140625" customWidth="1"/>
    <col min="3330" max="3330" width="6.42578125" customWidth="1"/>
    <col min="3331" max="3331" width="13.85546875" customWidth="1"/>
    <col min="3332" max="3332" width="22.5703125" customWidth="1"/>
    <col min="3335" max="3335" width="80" customWidth="1"/>
    <col min="3336" max="3336" width="10.28515625" customWidth="1"/>
    <col min="3337" max="3337" width="8.140625" customWidth="1"/>
    <col min="3586" max="3586" width="6.42578125" customWidth="1"/>
    <col min="3587" max="3587" width="13.85546875" customWidth="1"/>
    <col min="3588" max="3588" width="22.5703125" customWidth="1"/>
    <col min="3591" max="3591" width="80" customWidth="1"/>
    <col min="3592" max="3592" width="10.28515625" customWidth="1"/>
    <col min="3593" max="3593" width="8.140625" customWidth="1"/>
    <col min="3842" max="3842" width="6.42578125" customWidth="1"/>
    <col min="3843" max="3843" width="13.85546875" customWidth="1"/>
    <col min="3844" max="3844" width="22.5703125" customWidth="1"/>
    <col min="3847" max="3847" width="80" customWidth="1"/>
    <col min="3848" max="3848" width="10.28515625" customWidth="1"/>
    <col min="3849" max="3849" width="8.140625" customWidth="1"/>
    <col min="4098" max="4098" width="6.42578125" customWidth="1"/>
    <col min="4099" max="4099" width="13.85546875" customWidth="1"/>
    <col min="4100" max="4100" width="22.5703125" customWidth="1"/>
    <col min="4103" max="4103" width="80" customWidth="1"/>
    <col min="4104" max="4104" width="10.28515625" customWidth="1"/>
    <col min="4105" max="4105" width="8.140625" customWidth="1"/>
    <col min="4354" max="4354" width="6.42578125" customWidth="1"/>
    <col min="4355" max="4355" width="13.85546875" customWidth="1"/>
    <col min="4356" max="4356" width="22.5703125" customWidth="1"/>
    <col min="4359" max="4359" width="80" customWidth="1"/>
    <col min="4360" max="4360" width="10.28515625" customWidth="1"/>
    <col min="4361" max="4361" width="8.140625" customWidth="1"/>
    <col min="4610" max="4610" width="6.42578125" customWidth="1"/>
    <col min="4611" max="4611" width="13.85546875" customWidth="1"/>
    <col min="4612" max="4612" width="22.5703125" customWidth="1"/>
    <col min="4615" max="4615" width="80" customWidth="1"/>
    <col min="4616" max="4616" width="10.28515625" customWidth="1"/>
    <col min="4617" max="4617" width="8.140625" customWidth="1"/>
    <col min="4866" max="4866" width="6.42578125" customWidth="1"/>
    <col min="4867" max="4867" width="13.85546875" customWidth="1"/>
    <col min="4868" max="4868" width="22.5703125" customWidth="1"/>
    <col min="4871" max="4871" width="80" customWidth="1"/>
    <col min="4872" max="4872" width="10.28515625" customWidth="1"/>
    <col min="4873" max="4873" width="8.140625" customWidth="1"/>
    <col min="5122" max="5122" width="6.42578125" customWidth="1"/>
    <col min="5123" max="5123" width="13.85546875" customWidth="1"/>
    <col min="5124" max="5124" width="22.5703125" customWidth="1"/>
    <col min="5127" max="5127" width="80" customWidth="1"/>
    <col min="5128" max="5128" width="10.28515625" customWidth="1"/>
    <col min="5129" max="5129" width="8.140625" customWidth="1"/>
    <col min="5378" max="5378" width="6.42578125" customWidth="1"/>
    <col min="5379" max="5379" width="13.85546875" customWidth="1"/>
    <col min="5380" max="5380" width="22.5703125" customWidth="1"/>
    <col min="5383" max="5383" width="80" customWidth="1"/>
    <col min="5384" max="5384" width="10.28515625" customWidth="1"/>
    <col min="5385" max="5385" width="8.140625" customWidth="1"/>
    <col min="5634" max="5634" width="6.42578125" customWidth="1"/>
    <col min="5635" max="5635" width="13.85546875" customWidth="1"/>
    <col min="5636" max="5636" width="22.5703125" customWidth="1"/>
    <col min="5639" max="5639" width="80" customWidth="1"/>
    <col min="5640" max="5640" width="10.28515625" customWidth="1"/>
    <col min="5641" max="5641" width="8.140625" customWidth="1"/>
    <col min="5890" max="5890" width="6.42578125" customWidth="1"/>
    <col min="5891" max="5891" width="13.85546875" customWidth="1"/>
    <col min="5892" max="5892" width="22.5703125" customWidth="1"/>
    <col min="5895" max="5895" width="80" customWidth="1"/>
    <col min="5896" max="5896" width="10.28515625" customWidth="1"/>
    <col min="5897" max="5897" width="8.140625" customWidth="1"/>
    <col min="6146" max="6146" width="6.42578125" customWidth="1"/>
    <col min="6147" max="6147" width="13.85546875" customWidth="1"/>
    <col min="6148" max="6148" width="22.5703125" customWidth="1"/>
    <col min="6151" max="6151" width="80" customWidth="1"/>
    <col min="6152" max="6152" width="10.28515625" customWidth="1"/>
    <col min="6153" max="6153" width="8.140625" customWidth="1"/>
    <col min="6402" max="6402" width="6.42578125" customWidth="1"/>
    <col min="6403" max="6403" width="13.85546875" customWidth="1"/>
    <col min="6404" max="6404" width="22.5703125" customWidth="1"/>
    <col min="6407" max="6407" width="80" customWidth="1"/>
    <col min="6408" max="6408" width="10.28515625" customWidth="1"/>
    <col min="6409" max="6409" width="8.140625" customWidth="1"/>
    <col min="6658" max="6658" width="6.42578125" customWidth="1"/>
    <col min="6659" max="6659" width="13.85546875" customWidth="1"/>
    <col min="6660" max="6660" width="22.5703125" customWidth="1"/>
    <col min="6663" max="6663" width="80" customWidth="1"/>
    <col min="6664" max="6664" width="10.28515625" customWidth="1"/>
    <col min="6665" max="6665" width="8.140625" customWidth="1"/>
    <col min="6914" max="6914" width="6.42578125" customWidth="1"/>
    <col min="6915" max="6915" width="13.85546875" customWidth="1"/>
    <col min="6916" max="6916" width="22.5703125" customWidth="1"/>
    <col min="6919" max="6919" width="80" customWidth="1"/>
    <col min="6920" max="6920" width="10.28515625" customWidth="1"/>
    <col min="6921" max="6921" width="8.140625" customWidth="1"/>
    <col min="7170" max="7170" width="6.42578125" customWidth="1"/>
    <col min="7171" max="7171" width="13.85546875" customWidth="1"/>
    <col min="7172" max="7172" width="22.5703125" customWidth="1"/>
    <col min="7175" max="7175" width="80" customWidth="1"/>
    <col min="7176" max="7176" width="10.28515625" customWidth="1"/>
    <col min="7177" max="7177" width="8.140625" customWidth="1"/>
    <col min="7426" max="7426" width="6.42578125" customWidth="1"/>
    <col min="7427" max="7427" width="13.85546875" customWidth="1"/>
    <col min="7428" max="7428" width="22.5703125" customWidth="1"/>
    <col min="7431" max="7431" width="80" customWidth="1"/>
    <col min="7432" max="7432" width="10.28515625" customWidth="1"/>
    <col min="7433" max="7433" width="8.140625" customWidth="1"/>
    <col min="7682" max="7682" width="6.42578125" customWidth="1"/>
    <col min="7683" max="7683" width="13.85546875" customWidth="1"/>
    <col min="7684" max="7684" width="22.5703125" customWidth="1"/>
    <col min="7687" max="7687" width="80" customWidth="1"/>
    <col min="7688" max="7688" width="10.28515625" customWidth="1"/>
    <col min="7689" max="7689" width="8.140625" customWidth="1"/>
    <col min="7938" max="7938" width="6.42578125" customWidth="1"/>
    <col min="7939" max="7939" width="13.85546875" customWidth="1"/>
    <col min="7940" max="7940" width="22.5703125" customWidth="1"/>
    <col min="7943" max="7943" width="80" customWidth="1"/>
    <col min="7944" max="7944" width="10.28515625" customWidth="1"/>
    <col min="7945" max="7945" width="8.140625" customWidth="1"/>
    <col min="8194" max="8194" width="6.42578125" customWidth="1"/>
    <col min="8195" max="8195" width="13.85546875" customWidth="1"/>
    <col min="8196" max="8196" width="22.5703125" customWidth="1"/>
    <col min="8199" max="8199" width="80" customWidth="1"/>
    <col min="8200" max="8200" width="10.28515625" customWidth="1"/>
    <col min="8201" max="8201" width="8.140625" customWidth="1"/>
    <col min="8450" max="8450" width="6.42578125" customWidth="1"/>
    <col min="8451" max="8451" width="13.85546875" customWidth="1"/>
    <col min="8452" max="8452" width="22.5703125" customWidth="1"/>
    <col min="8455" max="8455" width="80" customWidth="1"/>
    <col min="8456" max="8456" width="10.28515625" customWidth="1"/>
    <col min="8457" max="8457" width="8.140625" customWidth="1"/>
    <col min="8706" max="8706" width="6.42578125" customWidth="1"/>
    <col min="8707" max="8707" width="13.85546875" customWidth="1"/>
    <col min="8708" max="8708" width="22.5703125" customWidth="1"/>
    <col min="8711" max="8711" width="80" customWidth="1"/>
    <col min="8712" max="8712" width="10.28515625" customWidth="1"/>
    <col min="8713" max="8713" width="8.140625" customWidth="1"/>
    <col min="8962" max="8962" width="6.42578125" customWidth="1"/>
    <col min="8963" max="8963" width="13.85546875" customWidth="1"/>
    <col min="8964" max="8964" width="22.5703125" customWidth="1"/>
    <col min="8967" max="8967" width="80" customWidth="1"/>
    <col min="8968" max="8968" width="10.28515625" customWidth="1"/>
    <col min="8969" max="8969" width="8.140625" customWidth="1"/>
    <col min="9218" max="9218" width="6.42578125" customWidth="1"/>
    <col min="9219" max="9219" width="13.85546875" customWidth="1"/>
    <col min="9220" max="9220" width="22.5703125" customWidth="1"/>
    <col min="9223" max="9223" width="80" customWidth="1"/>
    <col min="9224" max="9224" width="10.28515625" customWidth="1"/>
    <col min="9225" max="9225" width="8.140625" customWidth="1"/>
    <col min="9474" max="9474" width="6.42578125" customWidth="1"/>
    <col min="9475" max="9475" width="13.85546875" customWidth="1"/>
    <col min="9476" max="9476" width="22.5703125" customWidth="1"/>
    <col min="9479" max="9479" width="80" customWidth="1"/>
    <col min="9480" max="9480" width="10.28515625" customWidth="1"/>
    <col min="9481" max="9481" width="8.140625" customWidth="1"/>
    <col min="9730" max="9730" width="6.42578125" customWidth="1"/>
    <col min="9731" max="9731" width="13.85546875" customWidth="1"/>
    <col min="9732" max="9732" width="22.5703125" customWidth="1"/>
    <col min="9735" max="9735" width="80" customWidth="1"/>
    <col min="9736" max="9736" width="10.28515625" customWidth="1"/>
    <col min="9737" max="9737" width="8.140625" customWidth="1"/>
    <col min="9986" max="9986" width="6.42578125" customWidth="1"/>
    <col min="9987" max="9987" width="13.85546875" customWidth="1"/>
    <col min="9988" max="9988" width="22.5703125" customWidth="1"/>
    <col min="9991" max="9991" width="80" customWidth="1"/>
    <col min="9992" max="9992" width="10.28515625" customWidth="1"/>
    <col min="9993" max="9993" width="8.140625" customWidth="1"/>
    <col min="10242" max="10242" width="6.42578125" customWidth="1"/>
    <col min="10243" max="10243" width="13.85546875" customWidth="1"/>
    <col min="10244" max="10244" width="22.5703125" customWidth="1"/>
    <col min="10247" max="10247" width="80" customWidth="1"/>
    <col min="10248" max="10248" width="10.28515625" customWidth="1"/>
    <col min="10249" max="10249" width="8.140625" customWidth="1"/>
    <col min="10498" max="10498" width="6.42578125" customWidth="1"/>
    <col min="10499" max="10499" width="13.85546875" customWidth="1"/>
    <col min="10500" max="10500" width="22.5703125" customWidth="1"/>
    <col min="10503" max="10503" width="80" customWidth="1"/>
    <col min="10504" max="10504" width="10.28515625" customWidth="1"/>
    <col min="10505" max="10505" width="8.140625" customWidth="1"/>
    <col min="10754" max="10754" width="6.42578125" customWidth="1"/>
    <col min="10755" max="10755" width="13.85546875" customWidth="1"/>
    <col min="10756" max="10756" width="22.5703125" customWidth="1"/>
    <col min="10759" max="10759" width="80" customWidth="1"/>
    <col min="10760" max="10760" width="10.28515625" customWidth="1"/>
    <col min="10761" max="10761" width="8.140625" customWidth="1"/>
    <col min="11010" max="11010" width="6.42578125" customWidth="1"/>
    <col min="11011" max="11011" width="13.85546875" customWidth="1"/>
    <col min="11012" max="11012" width="22.5703125" customWidth="1"/>
    <col min="11015" max="11015" width="80" customWidth="1"/>
    <col min="11016" max="11016" width="10.28515625" customWidth="1"/>
    <col min="11017" max="11017" width="8.140625" customWidth="1"/>
    <col min="11266" max="11266" width="6.42578125" customWidth="1"/>
    <col min="11267" max="11267" width="13.85546875" customWidth="1"/>
    <col min="11268" max="11268" width="22.5703125" customWidth="1"/>
    <col min="11271" max="11271" width="80" customWidth="1"/>
    <col min="11272" max="11272" width="10.28515625" customWidth="1"/>
    <col min="11273" max="11273" width="8.140625" customWidth="1"/>
    <col min="11522" max="11522" width="6.42578125" customWidth="1"/>
    <col min="11523" max="11523" width="13.85546875" customWidth="1"/>
    <col min="11524" max="11524" width="22.5703125" customWidth="1"/>
    <col min="11527" max="11527" width="80" customWidth="1"/>
    <col min="11528" max="11528" width="10.28515625" customWidth="1"/>
    <col min="11529" max="11529" width="8.140625" customWidth="1"/>
    <col min="11778" max="11778" width="6.42578125" customWidth="1"/>
    <col min="11779" max="11779" width="13.85546875" customWidth="1"/>
    <col min="11780" max="11780" width="22.5703125" customWidth="1"/>
    <col min="11783" max="11783" width="80" customWidth="1"/>
    <col min="11784" max="11784" width="10.28515625" customWidth="1"/>
    <col min="11785" max="11785" width="8.140625" customWidth="1"/>
    <col min="12034" max="12034" width="6.42578125" customWidth="1"/>
    <col min="12035" max="12035" width="13.85546875" customWidth="1"/>
    <col min="12036" max="12036" width="22.5703125" customWidth="1"/>
    <col min="12039" max="12039" width="80" customWidth="1"/>
    <col min="12040" max="12040" width="10.28515625" customWidth="1"/>
    <col min="12041" max="12041" width="8.140625" customWidth="1"/>
    <col min="12290" max="12290" width="6.42578125" customWidth="1"/>
    <col min="12291" max="12291" width="13.85546875" customWidth="1"/>
    <col min="12292" max="12292" width="22.5703125" customWidth="1"/>
    <col min="12295" max="12295" width="80" customWidth="1"/>
    <col min="12296" max="12296" width="10.28515625" customWidth="1"/>
    <col min="12297" max="12297" width="8.140625" customWidth="1"/>
    <col min="12546" max="12546" width="6.42578125" customWidth="1"/>
    <col min="12547" max="12547" width="13.85546875" customWidth="1"/>
    <col min="12548" max="12548" width="22.5703125" customWidth="1"/>
    <col min="12551" max="12551" width="80" customWidth="1"/>
    <col min="12552" max="12552" width="10.28515625" customWidth="1"/>
    <col min="12553" max="12553" width="8.140625" customWidth="1"/>
    <col min="12802" max="12802" width="6.42578125" customWidth="1"/>
    <col min="12803" max="12803" width="13.85546875" customWidth="1"/>
    <col min="12804" max="12804" width="22.5703125" customWidth="1"/>
    <col min="12807" max="12807" width="80" customWidth="1"/>
    <col min="12808" max="12808" width="10.28515625" customWidth="1"/>
    <col min="12809" max="12809" width="8.140625" customWidth="1"/>
    <col min="13058" max="13058" width="6.42578125" customWidth="1"/>
    <col min="13059" max="13059" width="13.85546875" customWidth="1"/>
    <col min="13060" max="13060" width="22.5703125" customWidth="1"/>
    <col min="13063" max="13063" width="80" customWidth="1"/>
    <col min="13064" max="13064" width="10.28515625" customWidth="1"/>
    <col min="13065" max="13065" width="8.140625" customWidth="1"/>
    <col min="13314" max="13314" width="6.42578125" customWidth="1"/>
    <col min="13315" max="13315" width="13.85546875" customWidth="1"/>
    <col min="13316" max="13316" width="22.5703125" customWidth="1"/>
    <col min="13319" max="13319" width="80" customWidth="1"/>
    <col min="13320" max="13320" width="10.28515625" customWidth="1"/>
    <col min="13321" max="13321" width="8.140625" customWidth="1"/>
    <col min="13570" max="13570" width="6.42578125" customWidth="1"/>
    <col min="13571" max="13571" width="13.85546875" customWidth="1"/>
    <col min="13572" max="13572" width="22.5703125" customWidth="1"/>
    <col min="13575" max="13575" width="80" customWidth="1"/>
    <col min="13576" max="13576" width="10.28515625" customWidth="1"/>
    <col min="13577" max="13577" width="8.140625" customWidth="1"/>
    <col min="13826" max="13826" width="6.42578125" customWidth="1"/>
    <col min="13827" max="13827" width="13.85546875" customWidth="1"/>
    <col min="13828" max="13828" width="22.5703125" customWidth="1"/>
    <col min="13831" max="13831" width="80" customWidth="1"/>
    <col min="13832" max="13832" width="10.28515625" customWidth="1"/>
    <col min="13833" max="13833" width="8.140625" customWidth="1"/>
    <col min="14082" max="14082" width="6.42578125" customWidth="1"/>
    <col min="14083" max="14083" width="13.85546875" customWidth="1"/>
    <col min="14084" max="14084" width="22.5703125" customWidth="1"/>
    <col min="14087" max="14087" width="80" customWidth="1"/>
    <col min="14088" max="14088" width="10.28515625" customWidth="1"/>
    <col min="14089" max="14089" width="8.140625" customWidth="1"/>
    <col min="14338" max="14338" width="6.42578125" customWidth="1"/>
    <col min="14339" max="14339" width="13.85546875" customWidth="1"/>
    <col min="14340" max="14340" width="22.5703125" customWidth="1"/>
    <col min="14343" max="14343" width="80" customWidth="1"/>
    <col min="14344" max="14344" width="10.28515625" customWidth="1"/>
    <col min="14345" max="14345" width="8.140625" customWidth="1"/>
    <col min="14594" max="14594" width="6.42578125" customWidth="1"/>
    <col min="14595" max="14595" width="13.85546875" customWidth="1"/>
    <col min="14596" max="14596" width="22.5703125" customWidth="1"/>
    <col min="14599" max="14599" width="80" customWidth="1"/>
    <col min="14600" max="14600" width="10.28515625" customWidth="1"/>
    <col min="14601" max="14601" width="8.140625" customWidth="1"/>
    <col min="14850" max="14850" width="6.42578125" customWidth="1"/>
    <col min="14851" max="14851" width="13.85546875" customWidth="1"/>
    <col min="14852" max="14852" width="22.5703125" customWidth="1"/>
    <col min="14855" max="14855" width="80" customWidth="1"/>
    <col min="14856" max="14856" width="10.28515625" customWidth="1"/>
    <col min="14857" max="14857" width="8.140625" customWidth="1"/>
    <col min="15106" max="15106" width="6.42578125" customWidth="1"/>
    <col min="15107" max="15107" width="13.85546875" customWidth="1"/>
    <col min="15108" max="15108" width="22.5703125" customWidth="1"/>
    <col min="15111" max="15111" width="80" customWidth="1"/>
    <col min="15112" max="15112" width="10.28515625" customWidth="1"/>
    <col min="15113" max="15113" width="8.140625" customWidth="1"/>
    <col min="15362" max="15362" width="6.42578125" customWidth="1"/>
    <col min="15363" max="15363" width="13.85546875" customWidth="1"/>
    <col min="15364" max="15364" width="22.5703125" customWidth="1"/>
    <col min="15367" max="15367" width="80" customWidth="1"/>
    <col min="15368" max="15368" width="10.28515625" customWidth="1"/>
    <col min="15369" max="15369" width="8.140625" customWidth="1"/>
    <col min="15618" max="15618" width="6.42578125" customWidth="1"/>
    <col min="15619" max="15619" width="13.85546875" customWidth="1"/>
    <col min="15620" max="15620" width="22.5703125" customWidth="1"/>
    <col min="15623" max="15623" width="80" customWidth="1"/>
    <col min="15624" max="15624" width="10.28515625" customWidth="1"/>
    <col min="15625" max="15625" width="8.140625" customWidth="1"/>
    <col min="15874" max="15874" width="6.42578125" customWidth="1"/>
    <col min="15875" max="15875" width="13.85546875" customWidth="1"/>
    <col min="15876" max="15876" width="22.5703125" customWidth="1"/>
    <col min="15879" max="15879" width="80" customWidth="1"/>
    <col min="15880" max="15880" width="10.28515625" customWidth="1"/>
    <col min="15881" max="15881" width="8.140625" customWidth="1"/>
    <col min="16130" max="16130" width="6.42578125" customWidth="1"/>
    <col min="16131" max="16131" width="13.85546875" customWidth="1"/>
    <col min="16132" max="16132" width="22.5703125" customWidth="1"/>
    <col min="16135" max="16135" width="80" customWidth="1"/>
    <col min="16136" max="16136" width="10.28515625" customWidth="1"/>
    <col min="16137" max="16137" width="8.140625" customWidth="1"/>
  </cols>
  <sheetData>
    <row r="1" ht="21.95" customHeight="1" spans="1:9" x14ac:dyDescent="0.25">
      <c r="A1" s="3"/>
      <c r="B1" s="3"/>
      <c r="C1" s="4" t="s">
        <v>0</v>
      </c>
      <c r="D1" s="4"/>
      <c r="E1" s="4"/>
      <c r="F1" s="5" t="s">
        <v>1</v>
      </c>
      <c r="G1" s="5" t="s">
        <v>2</v>
      </c>
      <c r="H1" s="6" t="s">
        <v>3</v>
      </c>
      <c r="I1" s="6"/>
    </row>
    <row r="2" ht="18.75" customHeight="1" spans="1:9" x14ac:dyDescent="0.25">
      <c r="A2" s="3"/>
      <c r="B2" s="3"/>
      <c r="C2" s="4"/>
      <c r="D2" s="4"/>
      <c r="E2" s="4"/>
      <c r="F2" s="7" t="s">
        <v>4</v>
      </c>
      <c r="G2" s="8" t="s">
        <v>5</v>
      </c>
      <c r="H2" s="6" t="s">
        <v>6</v>
      </c>
      <c r="I2" s="6" t="s">
        <v>7</v>
      </c>
    </row>
    <row r="3" ht="17.25" customHeight="1" spans="1:9" x14ac:dyDescent="0.25">
      <c r="A3" s="3"/>
      <c r="B3" s="3"/>
      <c r="C3" s="4"/>
      <c r="D3" s="4"/>
      <c r="E3" s="4"/>
      <c r="F3" s="7" t="s">
        <v>8</v>
      </c>
      <c r="G3" s="8" t="s">
        <v>9</v>
      </c>
      <c r="H3" s="9"/>
      <c r="I3" s="10">
        <v>2024</v>
      </c>
    </row>
    <row r="4" ht="5.1" customHeight="1" spans="3:6" x14ac:dyDescent="0.25">
      <c r="C4" s="11"/>
      <c r="D4" s="12"/>
      <c r="E4" s="12"/>
      <c r="F4" s="12"/>
    </row>
    <row r="5" ht="31.5" customHeight="1" spans="1:9" x14ac:dyDescent="0.25">
      <c r="A5" s="13" t="s">
        <v>10</v>
      </c>
      <c r="B5" s="14" t="s">
        <v>11</v>
      </c>
      <c r="C5" s="15"/>
      <c r="D5" s="15"/>
      <c r="E5" s="15"/>
      <c r="F5" s="15"/>
      <c r="G5" s="15"/>
      <c r="H5" s="16" t="s">
        <v>12</v>
      </c>
      <c r="I5" s="15"/>
    </row>
    <row r="6" spans="1:9" x14ac:dyDescent="0.25">
      <c r="A6" s="17"/>
      <c r="B6" s="18" t="s">
        <v>13</v>
      </c>
      <c r="C6" s="19" t="s">
        <v>14</v>
      </c>
      <c r="D6" s="20" t="s">
        <v>15</v>
      </c>
      <c r="E6" s="21"/>
      <c r="F6" s="22" t="s">
        <v>16</v>
      </c>
      <c r="G6" s="23" t="s">
        <v>17</v>
      </c>
      <c r="H6" s="19" t="s">
        <v>18</v>
      </c>
      <c r="I6" s="19" t="s">
        <v>19</v>
      </c>
    </row>
    <row r="7" spans="1:9" x14ac:dyDescent="0.25">
      <c r="A7" s="24">
        <v>1</v>
      </c>
      <c r="B7" s="25">
        <v>46064</v>
      </c>
      <c r="C7" s="26" t="s">
        <v>20</v>
      </c>
      <c r="D7" s="27"/>
      <c r="E7" s="28"/>
      <c r="F7" s="29"/>
      <c r="G7" s="30" t="s">
        <v>21</v>
      </c>
      <c r="H7" s="31"/>
      <c r="I7" s="31"/>
    </row>
    <row r="8" spans="1:9" x14ac:dyDescent="0.25">
      <c r="A8" s="32">
        <v>2</v>
      </c>
      <c r="B8" s="25">
        <v>46064</v>
      </c>
      <c r="C8" s="26" t="s">
        <v>20</v>
      </c>
      <c r="D8" s="27"/>
      <c r="E8" s="28"/>
      <c r="F8" s="33"/>
      <c r="G8" s="30" t="s">
        <v>22</v>
      </c>
      <c r="H8" s="31"/>
      <c r="I8" s="31"/>
    </row>
    <row r="9" spans="1:9" x14ac:dyDescent="0.25">
      <c r="A9" s="32">
        <v>3</v>
      </c>
      <c r="B9" s="25">
        <v>46064</v>
      </c>
      <c r="C9" s="26" t="s">
        <v>20</v>
      </c>
      <c r="D9" s="27"/>
      <c r="E9" s="28"/>
      <c r="F9" s="29"/>
      <c r="G9" s="30" t="s">
        <v>23</v>
      </c>
      <c r="H9" s="31"/>
      <c r="I9" s="31"/>
    </row>
    <row r="10" spans="1:9" x14ac:dyDescent="0.25">
      <c r="A10" s="32">
        <v>4</v>
      </c>
      <c r="B10" s="25">
        <v>46064</v>
      </c>
      <c r="C10" s="26" t="s">
        <v>20</v>
      </c>
      <c r="D10" s="27"/>
      <c r="E10" s="28"/>
      <c r="F10" s="29"/>
      <c r="G10" s="30" t="s">
        <v>24</v>
      </c>
      <c r="H10" s="31"/>
      <c r="I10" s="31"/>
    </row>
    <row r="11" spans="1:9" x14ac:dyDescent="0.25">
      <c r="A11" s="32">
        <v>5</v>
      </c>
      <c r="B11" s="25">
        <v>46064</v>
      </c>
      <c r="C11" s="26" t="s">
        <v>20</v>
      </c>
      <c r="D11" s="27"/>
      <c r="E11" s="28"/>
      <c r="F11" s="28"/>
      <c r="G11" s="30" t="s">
        <v>25</v>
      </c>
      <c r="H11" s="31"/>
      <c r="I11" s="31"/>
    </row>
    <row r="12" spans="1:9" x14ac:dyDescent="0.25">
      <c r="A12" s="32">
        <v>6</v>
      </c>
      <c r="B12" s="25">
        <v>46064</v>
      </c>
      <c r="C12" s="26" t="s">
        <v>20</v>
      </c>
      <c r="D12" s="27"/>
      <c r="E12" s="28"/>
      <c r="F12" s="28"/>
      <c r="G12" s="30" t="s">
        <v>26</v>
      </c>
      <c r="H12" s="31"/>
      <c r="I12" s="31"/>
    </row>
    <row r="13" spans="1:9" x14ac:dyDescent="0.25">
      <c r="A13" s="32">
        <v>7</v>
      </c>
      <c r="B13" s="25">
        <v>46064</v>
      </c>
      <c r="C13" s="26" t="s">
        <v>20</v>
      </c>
      <c r="D13" s="27"/>
      <c r="E13" s="28"/>
      <c r="F13" s="28"/>
      <c r="G13" s="30" t="s">
        <v>27</v>
      </c>
      <c r="H13" s="31"/>
      <c r="I13" s="31"/>
    </row>
    <row r="14" spans="1:9" x14ac:dyDescent="0.25">
      <c r="A14" s="32">
        <v>8</v>
      </c>
      <c r="B14" s="25">
        <v>46064</v>
      </c>
      <c r="C14" s="26" t="s">
        <v>20</v>
      </c>
      <c r="D14" s="27"/>
      <c r="E14" s="28"/>
      <c r="F14" s="28"/>
      <c r="G14" s="30" t="s">
        <v>28</v>
      </c>
      <c r="H14" s="31"/>
      <c r="I14" s="31"/>
    </row>
    <row r="15" spans="1:9" x14ac:dyDescent="0.25">
      <c r="A15" s="32">
        <v>9</v>
      </c>
      <c r="B15" s="25">
        <v>46064</v>
      </c>
      <c r="C15" s="26" t="s">
        <v>20</v>
      </c>
      <c r="D15" s="27"/>
      <c r="E15" s="28"/>
      <c r="F15" s="28"/>
      <c r="G15" s="30" t="s">
        <v>29</v>
      </c>
      <c r="H15" s="31"/>
      <c r="I15" s="31"/>
    </row>
    <row r="16" spans="1:9" x14ac:dyDescent="0.25">
      <c r="A16" s="32">
        <v>10</v>
      </c>
      <c r="B16" s="25">
        <v>46064</v>
      </c>
      <c r="C16" s="26" t="s">
        <v>20</v>
      </c>
      <c r="D16" s="27"/>
      <c r="E16" s="28"/>
      <c r="F16" s="28"/>
      <c r="G16" s="30" t="s">
        <v>30</v>
      </c>
      <c r="H16" s="31"/>
      <c r="I16" s="31"/>
    </row>
    <row r="17" spans="1:9" x14ac:dyDescent="0.25">
      <c r="A17" s="32">
        <v>11</v>
      </c>
      <c r="B17" s="25">
        <v>46064</v>
      </c>
      <c r="C17" s="26" t="s">
        <v>20</v>
      </c>
      <c r="D17" s="27"/>
      <c r="E17" s="28"/>
      <c r="F17" s="28"/>
      <c r="G17" s="30" t="s">
        <v>31</v>
      </c>
      <c r="H17" s="31"/>
      <c r="I17" s="31"/>
    </row>
    <row r="18" spans="1:9" x14ac:dyDescent="0.25">
      <c r="A18" s="32">
        <v>12</v>
      </c>
      <c r="B18" s="25">
        <v>46064</v>
      </c>
      <c r="C18" s="26" t="s">
        <v>20</v>
      </c>
      <c r="D18" s="34"/>
      <c r="E18" s="35"/>
      <c r="F18" s="35"/>
      <c r="G18" s="30" t="s">
        <v>32</v>
      </c>
      <c r="H18" s="31"/>
      <c r="I18" s="31"/>
    </row>
    <row r="19" spans="1:9" x14ac:dyDescent="0.25">
      <c r="A19" s="32">
        <v>13</v>
      </c>
      <c r="B19" s="25">
        <v>46064</v>
      </c>
      <c r="C19" s="26" t="s">
        <v>20</v>
      </c>
      <c r="D19" s="27"/>
      <c r="E19" s="28"/>
      <c r="F19" s="28"/>
      <c r="G19" s="36" t="s">
        <v>33</v>
      </c>
      <c r="H19" s="31"/>
      <c r="I19" s="31"/>
    </row>
    <row r="20" spans="1:9" x14ac:dyDescent="0.25">
      <c r="A20" s="32">
        <v>14</v>
      </c>
      <c r="B20" s="25">
        <v>46064</v>
      </c>
      <c r="C20" s="26" t="s">
        <v>20</v>
      </c>
      <c r="D20" s="27"/>
      <c r="E20" s="28"/>
      <c r="F20" s="28"/>
      <c r="G20" s="36" t="s">
        <v>34</v>
      </c>
      <c r="H20" s="31"/>
      <c r="I20" s="31"/>
    </row>
    <row r="21" spans="1:9" x14ac:dyDescent="0.25">
      <c r="A21" s="32">
        <v>15</v>
      </c>
      <c r="B21" s="25">
        <v>46064</v>
      </c>
      <c r="C21" s="26" t="s">
        <v>20</v>
      </c>
      <c r="D21" s="27"/>
      <c r="E21" s="28"/>
      <c r="F21" s="28"/>
      <c r="G21" s="36" t="s">
        <v>35</v>
      </c>
      <c r="H21" s="31"/>
      <c r="I21" s="31"/>
    </row>
    <row r="22" spans="1:9" x14ac:dyDescent="0.25">
      <c r="A22" s="32">
        <v>16</v>
      </c>
      <c r="B22" s="37">
        <v>46064</v>
      </c>
      <c r="C22" s="26" t="s">
        <v>20</v>
      </c>
      <c r="D22" s="27"/>
      <c r="E22" s="28"/>
      <c r="F22" s="28"/>
      <c r="G22" s="36" t="s">
        <v>36</v>
      </c>
      <c r="H22" s="31"/>
      <c r="I22" s="31"/>
    </row>
    <row r="23" spans="1:9" x14ac:dyDescent="0.25">
      <c r="A23" s="32">
        <v>17</v>
      </c>
      <c r="B23" s="37">
        <v>46064</v>
      </c>
      <c r="C23" s="26" t="s">
        <v>20</v>
      </c>
      <c r="D23" s="27"/>
      <c r="E23" s="28"/>
      <c r="F23" s="28"/>
      <c r="G23" s="38" t="s">
        <v>37</v>
      </c>
      <c r="H23" s="31"/>
      <c r="I23" s="31"/>
    </row>
    <row r="24" spans="1:9" x14ac:dyDescent="0.25">
      <c r="A24" s="32">
        <v>18</v>
      </c>
      <c r="B24" s="37">
        <v>46064</v>
      </c>
      <c r="C24" s="26" t="s">
        <v>20</v>
      </c>
      <c r="D24" s="27"/>
      <c r="E24" s="28"/>
      <c r="F24" s="28"/>
      <c r="G24" s="38" t="s">
        <v>38</v>
      </c>
      <c r="H24" s="31"/>
      <c r="I24" s="31"/>
    </row>
    <row r="25" spans="1:9" x14ac:dyDescent="0.25">
      <c r="A25" s="32">
        <v>19</v>
      </c>
      <c r="B25" s="37">
        <v>46064</v>
      </c>
      <c r="C25" s="26" t="s">
        <v>20</v>
      </c>
      <c r="D25" s="27"/>
      <c r="E25" s="28"/>
      <c r="F25" s="28"/>
      <c r="G25" s="38" t="s">
        <v>39</v>
      </c>
      <c r="H25" s="31"/>
      <c r="I25" s="31"/>
    </row>
    <row r="26" spans="1:9" x14ac:dyDescent="0.25">
      <c r="A26" s="32">
        <v>20</v>
      </c>
      <c r="B26" s="37">
        <v>46064</v>
      </c>
      <c r="C26" s="26" t="s">
        <v>20</v>
      </c>
      <c r="D26" s="27"/>
      <c r="E26" s="28"/>
      <c r="F26" s="28"/>
      <c r="G26" s="38" t="s">
        <v>40</v>
      </c>
      <c r="H26" s="31"/>
      <c r="I26" s="31"/>
    </row>
    <row r="27" spans="1:9" x14ac:dyDescent="0.25">
      <c r="A27" s="32">
        <v>21</v>
      </c>
      <c r="B27" s="37">
        <v>46064</v>
      </c>
      <c r="C27" s="26" t="s">
        <v>20</v>
      </c>
      <c r="D27" s="27"/>
      <c r="E27" s="28"/>
      <c r="F27" s="28"/>
      <c r="G27" s="38" t="s">
        <v>41</v>
      </c>
      <c r="H27" s="31"/>
      <c r="I27" s="31"/>
    </row>
    <row r="28" spans="1:9" x14ac:dyDescent="0.25">
      <c r="A28" s="32">
        <v>22</v>
      </c>
      <c r="B28" s="37">
        <v>46064</v>
      </c>
      <c r="C28" s="26" t="s">
        <v>20</v>
      </c>
      <c r="D28" s="27"/>
      <c r="E28" s="28"/>
      <c r="F28" s="28"/>
      <c r="G28" s="38" t="s">
        <v>42</v>
      </c>
      <c r="H28" s="31"/>
      <c r="I28" s="31"/>
    </row>
    <row r="29" spans="1:9" x14ac:dyDescent="0.25">
      <c r="A29" s="32">
        <v>23</v>
      </c>
      <c r="B29" s="37">
        <v>46064</v>
      </c>
      <c r="C29" s="26" t="s">
        <v>20</v>
      </c>
      <c r="D29" s="27"/>
      <c r="E29" s="28"/>
      <c r="F29" s="28"/>
      <c r="G29" s="38" t="s">
        <v>43</v>
      </c>
      <c r="H29" s="31"/>
      <c r="I29" s="31"/>
    </row>
    <row r="30" spans="1:9" x14ac:dyDescent="0.25">
      <c r="A30" s="32">
        <v>24</v>
      </c>
      <c r="B30" s="37">
        <v>46064</v>
      </c>
      <c r="C30" s="26" t="s">
        <v>20</v>
      </c>
      <c r="D30" s="27"/>
      <c r="E30" s="28"/>
      <c r="F30" s="28"/>
      <c r="G30" s="38" t="s">
        <v>44</v>
      </c>
      <c r="H30" s="31"/>
      <c r="I30" s="31"/>
    </row>
    <row r="31" spans="1:9" x14ac:dyDescent="0.25">
      <c r="A31" s="32">
        <v>25</v>
      </c>
      <c r="B31" s="37">
        <v>46064</v>
      </c>
      <c r="C31" s="26" t="s">
        <v>20</v>
      </c>
      <c r="D31" s="27"/>
      <c r="E31" s="28"/>
      <c r="F31" s="28"/>
      <c r="G31" s="38" t="s">
        <v>45</v>
      </c>
      <c r="H31" s="31"/>
      <c r="I31" s="31"/>
    </row>
    <row r="32" spans="1:9" x14ac:dyDescent="0.25">
      <c r="A32" s="32">
        <v>26</v>
      </c>
      <c r="B32" s="37">
        <v>46064</v>
      </c>
      <c r="C32" s="26" t="s">
        <v>20</v>
      </c>
      <c r="D32" s="27"/>
      <c r="E32" s="28"/>
      <c r="F32" s="28"/>
      <c r="G32" s="38" t="s">
        <v>46</v>
      </c>
      <c r="H32" s="31"/>
      <c r="I32" s="31"/>
    </row>
    <row r="33" spans="1:9" x14ac:dyDescent="0.25">
      <c r="A33" s="32">
        <v>27</v>
      </c>
      <c r="B33" s="37">
        <v>46064</v>
      </c>
      <c r="C33" s="26" t="s">
        <v>20</v>
      </c>
      <c r="D33" s="27"/>
      <c r="E33" s="28"/>
      <c r="F33" s="28"/>
      <c r="G33" s="38" t="s">
        <v>47</v>
      </c>
      <c r="H33" s="31"/>
      <c r="I33" s="31"/>
    </row>
    <row r="34" spans="1:9" x14ac:dyDescent="0.25">
      <c r="A34" s="32">
        <v>28</v>
      </c>
      <c r="B34" s="37">
        <v>46064</v>
      </c>
      <c r="C34" s="26" t="s">
        <v>20</v>
      </c>
      <c r="D34" s="39"/>
      <c r="E34" s="40"/>
      <c r="F34" s="40"/>
      <c r="G34" s="38" t="s">
        <v>48</v>
      </c>
      <c r="H34" s="31"/>
      <c r="I34" s="31"/>
    </row>
    <row r="35" spans="1:9" x14ac:dyDescent="0.25">
      <c r="A35" s="32">
        <v>29</v>
      </c>
      <c r="B35" s="37">
        <v>46064</v>
      </c>
      <c r="C35" s="26" t="s">
        <v>20</v>
      </c>
      <c r="D35" s="41"/>
      <c r="E35" s="42"/>
      <c r="F35" s="42"/>
      <c r="G35" s="38" t="s">
        <v>49</v>
      </c>
      <c r="H35" s="31"/>
      <c r="I35" s="31"/>
    </row>
    <row r="36" spans="1:9" x14ac:dyDescent="0.25">
      <c r="A36" s="32">
        <v>30</v>
      </c>
      <c r="B36" s="37">
        <v>46064</v>
      </c>
      <c r="C36" s="26" t="s">
        <v>20</v>
      </c>
      <c r="D36" s="27"/>
      <c r="E36" s="28"/>
      <c r="F36" s="28"/>
      <c r="G36" s="38" t="s">
        <v>50</v>
      </c>
      <c r="H36" s="31"/>
      <c r="I36" s="31"/>
    </row>
    <row r="37" spans="1:9" x14ac:dyDescent="0.25">
      <c r="A37" s="32">
        <v>31</v>
      </c>
      <c r="B37" s="37">
        <v>46064</v>
      </c>
      <c r="C37" s="26" t="s">
        <v>20</v>
      </c>
      <c r="D37" s="27"/>
      <c r="E37" s="28"/>
      <c r="F37" s="28"/>
      <c r="G37" s="38" t="s">
        <v>51</v>
      </c>
      <c r="H37" s="31"/>
      <c r="I37" s="31"/>
    </row>
    <row r="38" spans="1:9" x14ac:dyDescent="0.25">
      <c r="A38" s="32">
        <v>32</v>
      </c>
      <c r="B38" s="37">
        <v>46064</v>
      </c>
      <c r="C38" s="26" t="s">
        <v>20</v>
      </c>
      <c r="D38" s="27"/>
      <c r="E38" s="28"/>
      <c r="F38" s="28"/>
      <c r="G38" s="38" t="s">
        <v>52</v>
      </c>
      <c r="H38" s="31"/>
      <c r="I38" s="31"/>
    </row>
    <row r="39" spans="1:9" x14ac:dyDescent="0.25">
      <c r="A39" s="32">
        <v>33</v>
      </c>
      <c r="B39" s="37">
        <v>46064</v>
      </c>
      <c r="C39" s="26" t="s">
        <v>20</v>
      </c>
      <c r="D39" s="27"/>
      <c r="E39" s="28"/>
      <c r="F39" s="28"/>
      <c r="G39" s="38" t="s">
        <v>53</v>
      </c>
      <c r="H39" s="31"/>
      <c r="I39" s="31"/>
    </row>
    <row r="40" spans="1:9" x14ac:dyDescent="0.25">
      <c r="A40" s="32">
        <v>34</v>
      </c>
      <c r="B40" s="37">
        <v>46064</v>
      </c>
      <c r="C40" s="26" t="s">
        <v>20</v>
      </c>
      <c r="D40" s="27"/>
      <c r="E40" s="28"/>
      <c r="F40" s="28"/>
      <c r="G40" s="38" t="s">
        <v>54</v>
      </c>
      <c r="H40" s="31"/>
      <c r="I40" s="31"/>
    </row>
    <row r="41" spans="1:9" x14ac:dyDescent="0.25">
      <c r="A41" s="32">
        <v>35</v>
      </c>
      <c r="B41" s="37">
        <v>46064</v>
      </c>
      <c r="C41" s="26" t="s">
        <v>20</v>
      </c>
      <c r="D41" s="27"/>
      <c r="E41" s="28"/>
      <c r="F41" s="28"/>
      <c r="G41" s="38" t="s">
        <v>55</v>
      </c>
      <c r="H41" s="31"/>
      <c r="I41" s="31"/>
    </row>
    <row r="42" spans="1:9" x14ac:dyDescent="0.25">
      <c r="A42" s="32">
        <v>36</v>
      </c>
      <c r="B42" s="37">
        <v>46064</v>
      </c>
      <c r="C42" s="26" t="s">
        <v>20</v>
      </c>
      <c r="D42" s="27"/>
      <c r="E42" s="28"/>
      <c r="F42" s="28"/>
      <c r="G42" s="38" t="s">
        <v>56</v>
      </c>
      <c r="H42" s="31"/>
      <c r="I42" s="31"/>
    </row>
    <row r="43" spans="1:9" x14ac:dyDescent="0.25">
      <c r="A43" s="32">
        <v>37</v>
      </c>
      <c r="B43" s="37">
        <v>46064</v>
      </c>
      <c r="C43" s="26" t="s">
        <v>20</v>
      </c>
      <c r="D43" s="27"/>
      <c r="E43" s="28"/>
      <c r="F43" s="28"/>
      <c r="G43" s="38" t="s">
        <v>57</v>
      </c>
      <c r="H43" s="31"/>
      <c r="I43" s="31"/>
    </row>
    <row r="44" spans="1:9" x14ac:dyDescent="0.25">
      <c r="A44" s="32">
        <v>38</v>
      </c>
      <c r="B44" s="37">
        <v>46064</v>
      </c>
      <c r="C44" s="26" t="s">
        <v>20</v>
      </c>
      <c r="D44" s="27"/>
      <c r="E44" s="28"/>
      <c r="F44" s="28"/>
      <c r="G44" s="38" t="s">
        <v>58</v>
      </c>
      <c r="H44" s="31"/>
      <c r="I44" s="31"/>
    </row>
    <row r="45" spans="1:9" x14ac:dyDescent="0.25">
      <c r="A45" s="32">
        <v>39</v>
      </c>
      <c r="B45" s="37">
        <v>46064</v>
      </c>
      <c r="C45" s="26" t="s">
        <v>20</v>
      </c>
      <c r="D45" s="27"/>
      <c r="E45" s="28"/>
      <c r="F45" s="28"/>
      <c r="G45" s="38" t="s">
        <v>59</v>
      </c>
      <c r="H45" s="31"/>
      <c r="I45" s="31"/>
    </row>
    <row r="46" spans="1:9" x14ac:dyDescent="0.25">
      <c r="A46" s="32" t="s">
        <v>60</v>
      </c>
      <c r="B46" s="37">
        <v>46064</v>
      </c>
      <c r="C46" s="26" t="s">
        <v>20</v>
      </c>
      <c r="D46" s="43"/>
      <c r="E46" s="44"/>
      <c r="F46" s="44"/>
      <c r="G46" s="38" t="s">
        <v>61</v>
      </c>
      <c r="H46" s="31"/>
      <c r="I46" s="31"/>
    </row>
    <row r="47" spans="1:9" x14ac:dyDescent="0.25">
      <c r="A47" s="32" t="s">
        <v>62</v>
      </c>
      <c r="B47" s="37">
        <v>46064</v>
      </c>
      <c r="C47" s="26" t="s">
        <v>20</v>
      </c>
      <c r="D47" s="27"/>
      <c r="E47" s="28"/>
      <c r="F47" s="28"/>
      <c r="G47" s="38" t="s">
        <v>63</v>
      </c>
      <c r="H47" s="31"/>
      <c r="I47" s="31"/>
    </row>
    <row r="48" spans="1:9" x14ac:dyDescent="0.25">
      <c r="A48" s="32" t="s">
        <v>64</v>
      </c>
      <c r="B48" s="37">
        <v>46064</v>
      </c>
      <c r="C48" s="26" t="s">
        <v>20</v>
      </c>
      <c r="D48" s="27"/>
      <c r="E48" s="28"/>
      <c r="F48" s="28"/>
      <c r="G48" s="38" t="s">
        <v>65</v>
      </c>
      <c r="H48" s="31"/>
      <c r="I48" s="31"/>
    </row>
    <row r="49" spans="1:9" x14ac:dyDescent="0.25">
      <c r="A49" s="32" t="s">
        <v>66</v>
      </c>
      <c r="B49" s="37">
        <v>46064</v>
      </c>
      <c r="C49" s="26" t="s">
        <v>20</v>
      </c>
      <c r="D49" s="27"/>
      <c r="E49" s="28"/>
      <c r="F49" s="28"/>
      <c r="G49" s="38" t="s">
        <v>67</v>
      </c>
      <c r="H49" s="31"/>
      <c r="I49" s="31"/>
    </row>
    <row r="50" spans="1:9" x14ac:dyDescent="0.25">
      <c r="A50" s="32" t="s">
        <v>68</v>
      </c>
      <c r="B50" s="37">
        <v>46064</v>
      </c>
      <c r="C50" s="26" t="s">
        <v>20</v>
      </c>
      <c r="D50" s="27"/>
      <c r="E50" s="28"/>
      <c r="F50" s="28"/>
      <c r="G50" s="38" t="s">
        <v>69</v>
      </c>
      <c r="H50" s="31"/>
      <c r="I50" s="31"/>
    </row>
    <row r="51" spans="1:9" x14ac:dyDescent="0.25">
      <c r="A51" s="32" t="s">
        <v>70</v>
      </c>
      <c r="B51" s="37">
        <v>46064</v>
      </c>
      <c r="C51" s="26" t="s">
        <v>20</v>
      </c>
      <c r="D51" s="27"/>
      <c r="E51" s="28"/>
      <c r="F51" s="28"/>
      <c r="G51" s="38" t="s">
        <v>71</v>
      </c>
      <c r="H51" s="31"/>
      <c r="I51" s="31"/>
    </row>
    <row r="52" ht="5.25" customHeight="1" spans="1:9" x14ac:dyDescent="0.25">
      <c r="A52" s="45"/>
      <c r="B52" s="46"/>
      <c r="C52" s="47"/>
      <c r="D52" s="48"/>
      <c r="E52" s="48"/>
      <c r="F52" s="48"/>
      <c r="G52" s="49" t="s">
        <v>72</v>
      </c>
      <c r="H52" s="50"/>
      <c r="I52" s="51"/>
    </row>
    <row r="53" spans="1:9" x14ac:dyDescent="0.25">
      <c r="A53" s="52" t="s">
        <v>73</v>
      </c>
      <c r="B53" s="52"/>
      <c r="C53" s="52"/>
      <c r="D53" s="52"/>
      <c r="E53" s="52"/>
      <c r="F53" s="52"/>
      <c r="G53" s="53" t="s">
        <v>74</v>
      </c>
      <c r="H53" s="54"/>
      <c r="I53" s="55"/>
    </row>
    <row r="54" spans="1:9" x14ac:dyDescent="0.25">
      <c r="A54" s="56"/>
      <c r="B54" s="57"/>
      <c r="C54" s="57"/>
      <c r="D54" s="58"/>
      <c r="E54" s="58"/>
      <c r="F54" s="59"/>
      <c r="G54" s="60" t="s">
        <v>75</v>
      </c>
      <c r="I54" s="61"/>
    </row>
    <row r="55" spans="1:9" x14ac:dyDescent="0.25">
      <c r="A55" s="62"/>
      <c r="B55" s="63"/>
      <c r="C55" s="63"/>
      <c r="D55" s="63"/>
      <c r="E55" s="63"/>
      <c r="F55" s="64"/>
      <c r="G55" s="60" t="s">
        <v>76</v>
      </c>
      <c r="I55" s="61"/>
    </row>
    <row r="56" spans="1:9" x14ac:dyDescent="0.25">
      <c r="A56" s="65" t="s">
        <v>77</v>
      </c>
      <c r="B56" s="66"/>
      <c r="C56" s="66" t="s">
        <v>78</v>
      </c>
      <c r="D56" s="66"/>
      <c r="E56" s="66"/>
      <c r="F56" s="67"/>
      <c r="G56" s="68" t="s">
        <v>79</v>
      </c>
      <c r="H56" s="66" t="s">
        <v>77</v>
      </c>
      <c r="I56" s="69"/>
    </row>
    <row r="57" ht="5.1" customHeight="1" spans="4:6" x14ac:dyDescent="0.25">
      <c r="D57" s="12"/>
      <c r="E57" s="12"/>
      <c r="F57" s="12"/>
    </row>
    <row r="58" ht="15.75" customHeight="1" spans="1:9" x14ac:dyDescent="0.25">
      <c r="A58" s="70" t="s">
        <v>80</v>
      </c>
      <c r="B58" s="71"/>
      <c r="C58" s="71"/>
      <c r="D58" s="71"/>
      <c r="E58" s="71"/>
      <c r="F58" s="71"/>
      <c r="G58" s="71"/>
      <c r="H58" s="71"/>
      <c r="I58" s="71"/>
    </row>
    <row r="59" spans="1:9" x14ac:dyDescent="0.25">
      <c r="A59" s="72" t="s">
        <v>81</v>
      </c>
      <c r="B59" s="72"/>
      <c r="C59" s="72" t="s">
        <v>82</v>
      </c>
      <c r="D59" s="73" t="s">
        <v>83</v>
      </c>
      <c r="E59" s="73"/>
      <c r="F59" s="73"/>
      <c r="G59" s="72" t="s">
        <v>84</v>
      </c>
      <c r="H59" s="72" t="s">
        <v>85</v>
      </c>
      <c r="I59" s="72"/>
    </row>
    <row r="60" spans="1:9" x14ac:dyDescent="0.25">
      <c r="A60" s="74"/>
      <c r="B60" s="74"/>
      <c r="C60" s="74"/>
      <c r="D60" s="75"/>
      <c r="E60" s="75"/>
      <c r="F60" s="75"/>
      <c r="G60" s="74"/>
      <c r="H60" s="74"/>
      <c r="I60" s="74"/>
    </row>
    <row r="61" spans="1:9" x14ac:dyDescent="0.25">
      <c r="A61" s="76"/>
      <c r="B61" s="76"/>
      <c r="C61" s="76"/>
      <c r="D61" s="77"/>
      <c r="E61" s="77"/>
      <c r="F61" s="77"/>
      <c r="G61" s="76"/>
      <c r="H61" s="76"/>
      <c r="I61" s="76"/>
    </row>
    <row r="62" spans="1:9" x14ac:dyDescent="0.25">
      <c r="A62" s="78"/>
      <c r="B62" s="79"/>
      <c r="C62" s="80"/>
      <c r="D62" s="81"/>
      <c r="E62" s="82"/>
      <c r="F62" s="82"/>
      <c r="G62" s="80"/>
      <c r="H62" s="78"/>
      <c r="I62" s="79"/>
    </row>
    <row r="65" spans="2:6" x14ac:dyDescent="0.25">
      <c r="B65" s="83"/>
      <c r="C65" s="63"/>
      <c r="D65" s="12"/>
      <c r="E65" s="12"/>
      <c r="F65" s="12"/>
    </row>
    <row r="66" spans="1:8" x14ac:dyDescent="0.25">
      <c r="A66" s="47"/>
      <c r="B66" s="47"/>
      <c r="C66" s="84"/>
      <c r="D66" s="84"/>
      <c r="E66" s="85"/>
      <c r="F66" s="85"/>
      <c r="H66" s="84"/>
    </row>
    <row r="67" ht="5.1" customHeight="1" spans="4:6" x14ac:dyDescent="0.25">
      <c r="D67" s="12"/>
      <c r="E67" s="12"/>
      <c r="F67" s="12"/>
    </row>
    <row r="68" spans="1:9" x14ac:dyDescent="0.25">
      <c r="A68" s="84"/>
      <c r="B68" s="84"/>
      <c r="C68" s="84"/>
      <c r="D68" s="84"/>
      <c r="E68" s="84"/>
      <c r="F68" s="84"/>
      <c r="G68" s="84"/>
      <c r="H68" s="84"/>
      <c r="I68" s="84"/>
    </row>
    <row r="69" spans="1:9" x14ac:dyDescent="0.25">
      <c r="A69" s="63"/>
      <c r="B69" s="63"/>
      <c r="C69" s="63"/>
      <c r="D69" s="86"/>
      <c r="E69" s="86"/>
      <c r="F69" s="86"/>
      <c r="G69" s="63"/>
      <c r="H69" s="63"/>
      <c r="I69" s="63"/>
    </row>
    <row r="70" spans="1:9" x14ac:dyDescent="0.25">
      <c r="A70" s="87"/>
      <c r="B70" s="87"/>
      <c r="C70" s="87"/>
      <c r="D70" s="88"/>
      <c r="E70" s="88"/>
      <c r="F70" s="88"/>
      <c r="G70" s="87"/>
      <c r="H70" s="87"/>
      <c r="I70" s="87"/>
    </row>
    <row r="71" spans="1:9" x14ac:dyDescent="0.25">
      <c r="A71" s="87"/>
      <c r="B71" s="87"/>
      <c r="C71" s="87"/>
      <c r="D71" s="88"/>
      <c r="E71" s="88"/>
      <c r="F71" s="88"/>
      <c r="G71" s="87"/>
      <c r="H71" s="87"/>
      <c r="I71" s="87"/>
    </row>
    <row r="72" spans="1:9" x14ac:dyDescent="0.25">
      <c r="A72" s="87"/>
      <c r="B72" s="87"/>
      <c r="C72" s="87"/>
      <c r="D72" s="88"/>
      <c r="E72" s="88"/>
      <c r="F72" s="88"/>
      <c r="G72" s="87"/>
      <c r="H72" s="87"/>
      <c r="I72" s="87"/>
    </row>
    <row r="75" ht="21.95" customHeight="1" spans="1:9" x14ac:dyDescent="0.25">
      <c r="A75" s="89"/>
      <c r="B75" s="89"/>
      <c r="C75" s="90"/>
      <c r="D75" s="91"/>
      <c r="E75" s="91"/>
      <c r="F75" s="91"/>
      <c r="G75" s="92"/>
      <c r="H75" s="93"/>
      <c r="I75" s="94"/>
    </row>
    <row r="76" spans="1:9" x14ac:dyDescent="0.25">
      <c r="A76" s="89"/>
      <c r="B76" s="89"/>
      <c r="C76" s="91"/>
      <c r="D76" s="91"/>
      <c r="E76" s="91"/>
      <c r="F76" s="91"/>
      <c r="G76" s="95"/>
      <c r="H76" s="96"/>
      <c r="I76" s="96"/>
    </row>
    <row r="77" ht="18" customHeight="1" spans="1:9" x14ac:dyDescent="0.25">
      <c r="A77" s="89"/>
      <c r="B77" s="89"/>
      <c r="C77" s="91"/>
      <c r="D77" s="91"/>
      <c r="E77" s="91"/>
      <c r="F77" s="91"/>
      <c r="G77" s="97"/>
      <c r="H77" s="98"/>
      <c r="I77" s="99"/>
    </row>
    <row r="78" ht="5.1" customHeight="1" spans="3:6" x14ac:dyDescent="0.25">
      <c r="C78" s="11"/>
      <c r="D78" s="12"/>
      <c r="E78" s="12"/>
      <c r="F78" s="12"/>
    </row>
    <row r="79" ht="24.95" customHeight="1" spans="1:9" x14ac:dyDescent="0.25">
      <c r="A79" s="100"/>
      <c r="B79" s="101"/>
      <c r="C79" s="101"/>
      <c r="D79" s="101"/>
      <c r="E79" s="101"/>
      <c r="F79" s="101"/>
      <c r="G79" s="101"/>
      <c r="H79" s="102"/>
      <c r="I79" s="103"/>
    </row>
    <row r="80" spans="1:9" x14ac:dyDescent="0.25">
      <c r="A80" s="100"/>
      <c r="B80" s="63"/>
      <c r="C80" s="63"/>
      <c r="D80" s="104"/>
      <c r="E80" s="104"/>
      <c r="F80" s="104"/>
      <c r="G80" s="63"/>
      <c r="H80" s="63"/>
      <c r="I80" s="63"/>
    </row>
    <row r="81" spans="1:9" x14ac:dyDescent="0.25">
      <c r="A81" s="104"/>
      <c r="B81" s="46"/>
      <c r="C81" s="47"/>
      <c r="D81" s="48"/>
      <c r="E81" s="48"/>
      <c r="F81" s="48"/>
      <c r="G81" s="49"/>
      <c r="H81" s="50"/>
      <c r="I81" s="50"/>
    </row>
    <row r="82" spans="2:7" x14ac:dyDescent="0.25">
      <c r="C82" s="1"/>
      <c r="D82" s="2"/>
      <c r="G82" s="60"/>
    </row>
    <row r="83" spans="2:7" x14ac:dyDescent="0.25">
      <c r="C83" s="1"/>
      <c r="D83" s="2"/>
      <c r="G83" s="60"/>
    </row>
    <row r="84" spans="2:7" x14ac:dyDescent="0.25">
      <c r="C84" s="1"/>
      <c r="D84" s="2"/>
      <c r="G84" s="60"/>
    </row>
    <row r="85" spans="2:7" x14ac:dyDescent="0.25">
      <c r="C85" s="1"/>
      <c r="D85" s="2"/>
      <c r="G85" s="60"/>
    </row>
    <row r="86" spans="2:7" x14ac:dyDescent="0.25">
      <c r="C86" s="1"/>
      <c r="D86" s="2"/>
      <c r="G86" s="60"/>
    </row>
    <row r="87" spans="2:7" x14ac:dyDescent="0.25">
      <c r="C87" s="1"/>
      <c r="D87" s="2"/>
      <c r="G87" s="60"/>
    </row>
    <row r="88" spans="2:7" x14ac:dyDescent="0.25">
      <c r="C88" s="1"/>
      <c r="D88" s="2"/>
      <c r="G88" s="60"/>
    </row>
    <row r="89" spans="2:7" x14ac:dyDescent="0.25">
      <c r="C89" s="1"/>
      <c r="D89" s="2"/>
      <c r="G89" s="60"/>
    </row>
    <row r="90" spans="2:7" x14ac:dyDescent="0.25">
      <c r="C90" s="1"/>
      <c r="D90" s="2"/>
      <c r="G90" s="60"/>
    </row>
    <row r="91" spans="2:7" x14ac:dyDescent="0.25">
      <c r="C91" s="1"/>
      <c r="D91" s="2"/>
      <c r="G91" s="60"/>
    </row>
    <row r="92" spans="2:7" x14ac:dyDescent="0.25">
      <c r="C92" s="1"/>
      <c r="D92" s="2"/>
      <c r="G92" s="60"/>
    </row>
    <row r="93" spans="2:7" x14ac:dyDescent="0.25">
      <c r="C93" s="1"/>
      <c r="D93" s="2"/>
      <c r="G93" s="60"/>
    </row>
    <row r="94" spans="2:7" x14ac:dyDescent="0.25">
      <c r="C94" s="1"/>
      <c r="D94" s="2"/>
      <c r="G94" s="60"/>
    </row>
    <row r="95" spans="2:7" x14ac:dyDescent="0.25">
      <c r="C95" s="1"/>
      <c r="D95" s="2"/>
      <c r="G95" s="60"/>
    </row>
    <row r="96" spans="2:7" x14ac:dyDescent="0.25">
      <c r="C96" s="1"/>
      <c r="D96" s="2"/>
      <c r="G96" s="60"/>
    </row>
    <row r="97" spans="2:7" x14ac:dyDescent="0.25">
      <c r="C97" s="1"/>
      <c r="D97" s="2"/>
      <c r="G97" s="60"/>
    </row>
    <row r="98" spans="2:7" x14ac:dyDescent="0.25">
      <c r="C98" s="1"/>
      <c r="D98" s="2"/>
      <c r="G98" s="60"/>
    </row>
    <row r="99" spans="2:7" x14ac:dyDescent="0.25">
      <c r="C99" s="1"/>
      <c r="D99" s="2"/>
      <c r="G99" s="60"/>
    </row>
    <row r="100" spans="2:7" x14ac:dyDescent="0.25">
      <c r="C100" s="1"/>
      <c r="D100" s="2"/>
      <c r="G100" s="60"/>
    </row>
    <row r="101" spans="2:7" x14ac:dyDescent="0.25">
      <c r="C101" s="1"/>
      <c r="D101" s="2"/>
      <c r="G101" s="60"/>
    </row>
    <row r="102" spans="2:7" x14ac:dyDescent="0.25">
      <c r="C102" s="1"/>
      <c r="D102" s="2"/>
      <c r="G102" s="60"/>
    </row>
    <row r="103" spans="2:7" x14ac:dyDescent="0.25">
      <c r="C103" s="1"/>
      <c r="D103" s="2"/>
      <c r="G103" s="60"/>
    </row>
    <row r="104" spans="2:7" x14ac:dyDescent="0.25">
      <c r="C104" s="1"/>
      <c r="D104" s="2"/>
      <c r="G104" s="60"/>
    </row>
    <row r="105" spans="2:7" x14ac:dyDescent="0.25">
      <c r="C105" s="1"/>
      <c r="D105" s="2"/>
      <c r="G105" s="60"/>
    </row>
    <row r="106" spans="2:7" x14ac:dyDescent="0.25">
      <c r="C106" s="1"/>
      <c r="D106" s="2"/>
      <c r="G106" s="60"/>
    </row>
    <row r="107" spans="2:7" x14ac:dyDescent="0.25">
      <c r="C107" s="1"/>
      <c r="D107" s="2"/>
      <c r="G107" s="60"/>
    </row>
    <row r="108" spans="2:7" x14ac:dyDescent="0.25">
      <c r="C108" s="1"/>
      <c r="D108" s="2"/>
      <c r="G108" s="60"/>
    </row>
    <row r="109" spans="2:7" x14ac:dyDescent="0.25">
      <c r="C109" s="1"/>
      <c r="D109" s="2"/>
      <c r="G109" s="60"/>
    </row>
    <row r="110" spans="2:7" x14ac:dyDescent="0.25">
      <c r="C110" s="1"/>
      <c r="D110" s="2"/>
      <c r="G110" s="60"/>
    </row>
    <row r="111" spans="2:7" x14ac:dyDescent="0.25">
      <c r="C111" s="1"/>
      <c r="D111" s="2"/>
      <c r="G111" s="60"/>
    </row>
    <row r="112" spans="2:7" x14ac:dyDescent="0.25">
      <c r="C112" s="1"/>
      <c r="D112" s="2"/>
      <c r="G112" s="60"/>
    </row>
    <row r="113" spans="2:7" x14ac:dyDescent="0.25">
      <c r="C113" s="1"/>
      <c r="D113" s="2"/>
      <c r="G113" s="60"/>
    </row>
    <row r="114" spans="2:7" x14ac:dyDescent="0.25">
      <c r="C114" s="1"/>
      <c r="D114" s="2"/>
      <c r="G114" s="60"/>
    </row>
    <row r="115" spans="2:7" x14ac:dyDescent="0.25">
      <c r="C115" s="1"/>
      <c r="D115" s="2"/>
      <c r="G115" s="60"/>
    </row>
    <row r="116" spans="2:7" x14ac:dyDescent="0.25">
      <c r="C116" s="1"/>
      <c r="D116" s="2"/>
      <c r="G116" s="60"/>
    </row>
    <row r="117" spans="2:7" x14ac:dyDescent="0.25">
      <c r="C117" s="1"/>
      <c r="D117" s="2"/>
      <c r="G117" s="60"/>
    </row>
    <row r="118" spans="2:7" x14ac:dyDescent="0.25">
      <c r="C118" s="1"/>
      <c r="D118" s="2"/>
      <c r="G118" s="60"/>
    </row>
    <row r="119" spans="2:7" x14ac:dyDescent="0.25">
      <c r="C119" s="1"/>
      <c r="D119" s="2"/>
      <c r="G119" s="60"/>
    </row>
    <row r="120" spans="2:7" x14ac:dyDescent="0.25">
      <c r="C120" s="1"/>
      <c r="D120" s="2"/>
      <c r="G120" s="60"/>
    </row>
    <row r="121" spans="2:7" x14ac:dyDescent="0.25">
      <c r="C121" s="1"/>
      <c r="D121" s="2"/>
    </row>
    <row r="122" spans="2:7" x14ac:dyDescent="0.25">
      <c r="C122" s="1"/>
      <c r="D122" s="2"/>
    </row>
    <row r="123" spans="2:7" x14ac:dyDescent="0.25">
      <c r="C123" s="1"/>
      <c r="D123" s="2"/>
    </row>
    <row r="124" spans="2:7" x14ac:dyDescent="0.25">
      <c r="C124" s="1"/>
      <c r="D124" s="2"/>
    </row>
    <row r="125" spans="2:7" x14ac:dyDescent="0.25">
      <c r="C125" s="1"/>
      <c r="D125" s="2"/>
    </row>
    <row r="126" spans="2:7" x14ac:dyDescent="0.25">
      <c r="C126" s="1"/>
      <c r="D126" s="2"/>
    </row>
    <row r="127" spans="2:7" x14ac:dyDescent="0.25">
      <c r="C127" s="1"/>
      <c r="D127" s="2"/>
    </row>
    <row r="128" spans="2:7" x14ac:dyDescent="0.25">
      <c r="C128" s="1"/>
      <c r="D128" s="2"/>
    </row>
    <row r="129" spans="2:7" x14ac:dyDescent="0.25">
      <c r="C129" s="1"/>
      <c r="D129" s="2"/>
    </row>
    <row r="130" spans="2:7" x14ac:dyDescent="0.25">
      <c r="C130" s="1"/>
      <c r="D130" s="2"/>
    </row>
    <row r="131" spans="2:7" x14ac:dyDescent="0.25">
      <c r="C131" s="1"/>
      <c r="D131" s="2"/>
    </row>
    <row r="132" spans="2:7" x14ac:dyDescent="0.25">
      <c r="C132" s="1"/>
      <c r="D132" s="2"/>
    </row>
    <row r="133" spans="2:7" x14ac:dyDescent="0.25">
      <c r="C133" s="1"/>
      <c r="D133" s="2"/>
    </row>
    <row r="134" spans="2:7" x14ac:dyDescent="0.25">
      <c r="C134" s="1"/>
      <c r="D134" s="2"/>
    </row>
    <row r="135" spans="2:7" x14ac:dyDescent="0.25">
      <c r="C135" s="1"/>
      <c r="D135" s="2"/>
    </row>
    <row r="136" spans="2:7" x14ac:dyDescent="0.25">
      <c r="C136" s="1"/>
      <c r="D136" s="2"/>
    </row>
    <row r="137" spans="2:7" x14ac:dyDescent="0.25">
      <c r="C137" s="1"/>
      <c r="D137" s="2"/>
    </row>
    <row r="138" spans="2:7" x14ac:dyDescent="0.25">
      <c r="C138" s="1"/>
      <c r="D138" s="2"/>
    </row>
    <row r="139" spans="2:7" x14ac:dyDescent="0.25">
      <c r="C139" s="1"/>
      <c r="D139" s="2"/>
    </row>
    <row r="140" spans="2:7" x14ac:dyDescent="0.25">
      <c r="C140" s="1"/>
      <c r="D140" s="2"/>
    </row>
    <row r="141" spans="2:7" x14ac:dyDescent="0.25">
      <c r="C141" s="1"/>
      <c r="D141" s="2"/>
    </row>
    <row r="142" spans="2:7" x14ac:dyDescent="0.25">
      <c r="C142" s="1"/>
      <c r="D142" s="2"/>
    </row>
    <row r="143" spans="2:7" x14ac:dyDescent="0.25">
      <c r="C143" s="1"/>
      <c r="D143" s="2"/>
    </row>
    <row r="144" spans="2:7" x14ac:dyDescent="0.25">
      <c r="C144" s="1"/>
      <c r="D144" s="2"/>
    </row>
    <row r="145" spans="2:7" x14ac:dyDescent="0.25">
      <c r="C145" s="1"/>
      <c r="D145" s="2"/>
    </row>
    <row r="146" spans="2:7" x14ac:dyDescent="0.25">
      <c r="C146" s="1"/>
      <c r="D146" s="2"/>
    </row>
    <row r="147" spans="2:7" x14ac:dyDescent="0.25">
      <c r="C147" s="1"/>
      <c r="D147" s="2"/>
    </row>
    <row r="148" spans="2:7" x14ac:dyDescent="0.25">
      <c r="C148" s="1"/>
      <c r="D148" s="2"/>
    </row>
    <row r="149" spans="2:7" x14ac:dyDescent="0.25">
      <c r="C149" s="1"/>
      <c r="D149" s="2"/>
    </row>
    <row r="150" spans="2:7" x14ac:dyDescent="0.25">
      <c r="C150" s="1"/>
      <c r="D150" s="2"/>
    </row>
    <row r="151" spans="2:7" x14ac:dyDescent="0.25">
      <c r="C151" s="1"/>
      <c r="D151" s="2"/>
    </row>
    <row r="152" spans="2:7" x14ac:dyDescent="0.25">
      <c r="C152" s="1"/>
      <c r="D152" s="2"/>
    </row>
    <row r="153" spans="2:7" x14ac:dyDescent="0.25">
      <c r="C153" s="1"/>
      <c r="D153" s="2"/>
    </row>
    <row r="154" spans="2:7" x14ac:dyDescent="0.25">
      <c r="C154" s="1"/>
      <c r="D154" s="2"/>
    </row>
    <row r="155" spans="2:7" x14ac:dyDescent="0.25">
      <c r="C155" s="1"/>
      <c r="D155" s="2"/>
    </row>
    <row r="156" spans="2:7" x14ac:dyDescent="0.25">
      <c r="C156" s="1"/>
      <c r="D156" s="2"/>
    </row>
    <row r="157" spans="2:7" x14ac:dyDescent="0.25">
      <c r="C157" s="1"/>
      <c r="D157" s="2"/>
    </row>
    <row r="158" spans="2:7" x14ac:dyDescent="0.25">
      <c r="C158" s="1"/>
      <c r="D158" s="2"/>
    </row>
    <row r="159" spans="2:7" x14ac:dyDescent="0.25">
      <c r="C159" s="1"/>
      <c r="D159" s="2"/>
    </row>
    <row r="160" spans="2:7" x14ac:dyDescent="0.25">
      <c r="C160" s="1"/>
      <c r="D160" s="2"/>
    </row>
    <row r="161" spans="2:7" x14ac:dyDescent="0.25">
      <c r="C161" s="1"/>
      <c r="D161" s="2"/>
    </row>
    <row r="162" spans="2:7" x14ac:dyDescent="0.25">
      <c r="C162" s="1"/>
      <c r="D162" s="2"/>
    </row>
    <row r="163" spans="2:7" x14ac:dyDescent="0.25">
      <c r="C163" s="1"/>
      <c r="D163" s="2"/>
    </row>
    <row r="164" spans="2:7" x14ac:dyDescent="0.25">
      <c r="C164" s="1"/>
      <c r="D164" s="2"/>
    </row>
    <row r="165" spans="2:7" x14ac:dyDescent="0.25">
      <c r="C165" s="1"/>
      <c r="D165" s="2"/>
    </row>
    <row r="166" spans="2:7" x14ac:dyDescent="0.25">
      <c r="C166" s="1"/>
      <c r="D166" s="2"/>
    </row>
    <row r="167" spans="2:7" x14ac:dyDescent="0.25">
      <c r="C167" s="1"/>
      <c r="D167" s="2"/>
    </row>
    <row r="168" spans="2:7" x14ac:dyDescent="0.25">
      <c r="C168" s="1"/>
      <c r="D168" s="2"/>
    </row>
    <row r="169" spans="2:7" x14ac:dyDescent="0.25">
      <c r="C169" s="1"/>
      <c r="D169" s="2"/>
    </row>
    <row r="170" spans="2:7" x14ac:dyDescent="0.25">
      <c r="C170" s="1"/>
      <c r="D170" s="2"/>
    </row>
  </sheetData>
  <sheetProtection sheet="1" algorithmName="SHA-512" hashValue="dqZrrzF4PRILfqWq37AblLN9Y4AlK0OuLisqmp2L/gfnRrxaUtHjrqfkNTrMtckmBwwH2V1mdF67XLqObWKpHw==" saltValue="Wl2IRZWpFWkA1CErG3VO8w==" spinCount="100000" objects="1" scenarios="1"/>
  <mergeCells count="92">
    <mergeCell ref="A1:B3"/>
    <mergeCell ref="C1:E3"/>
    <mergeCell ref="H1:I1"/>
    <mergeCell ref="B5:G5"/>
    <mergeCell ref="H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A53:F53"/>
    <mergeCell ref="G53:I53"/>
    <mergeCell ref="A55:B55"/>
    <mergeCell ref="C55:F55"/>
    <mergeCell ref="A56:B56"/>
    <mergeCell ref="C56:F56"/>
    <mergeCell ref="A58:I58"/>
    <mergeCell ref="A59:B59"/>
    <mergeCell ref="D59:E59"/>
    <mergeCell ref="H59:I59"/>
    <mergeCell ref="A60:B60"/>
    <mergeCell ref="D60:E60"/>
    <mergeCell ref="H60:I60"/>
    <mergeCell ref="A61:B61"/>
    <mergeCell ref="D61:E61"/>
    <mergeCell ref="H61:I61"/>
    <mergeCell ref="A62:B62"/>
    <mergeCell ref="D62:E62"/>
    <mergeCell ref="H62:I62"/>
    <mergeCell ref="A66:B66"/>
    <mergeCell ref="C66:D66"/>
    <mergeCell ref="A68:I68"/>
    <mergeCell ref="A69:B69"/>
    <mergeCell ref="D69:E69"/>
    <mergeCell ref="H69:I69"/>
    <mergeCell ref="A70:B70"/>
    <mergeCell ref="D70:E70"/>
    <mergeCell ref="H70:I70"/>
    <mergeCell ref="A71:B71"/>
    <mergeCell ref="D71:E71"/>
    <mergeCell ref="H71:I71"/>
    <mergeCell ref="A72:B72"/>
    <mergeCell ref="D72:E72"/>
    <mergeCell ref="H72:I72"/>
    <mergeCell ref="A75:B77"/>
    <mergeCell ref="C75:E77"/>
    <mergeCell ref="B79:G79"/>
    <mergeCell ref="H79:I79"/>
    <mergeCell ref="A79:A80"/>
    <mergeCell ref="D80:E80"/>
    <mergeCell ref="D81:E81"/>
  </mergeCells>
  <pageMargins left="0.43" right="0.43" top="0.5" bottom="0.4" header="0.31496062992125984" footer="0.17"/>
  <pageSetup paperSize="9" orientation="landscape" horizontalDpi="4294967295" verticalDpi="4294967295" scale="59" fitToWidth="1" fitToHeight="1" firstPageNumber="1" useFirstPageNumber="1" copies="1"/>
  <headerFooter>
    <oddFooter>&amp;C&amp;1#&amp;"Calibri"&amp;12&amp;K008000Internal Use</oddFooter>
  </headerFooter>
  <drawing r:id="rId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9"/>
  <sheetViews>
    <sheetView workbookViewId="0" showGridLines="0" zoomScale="100" zoomScaleNormal="100">
      <selection activeCell="K2" sqref="K2"/>
    </sheetView>
  </sheetViews>
  <sheetFormatPr defaultRowHeight="15" outlineLevelRow="0" outlineLevelCol="0" x14ac:dyDescent="0.25"/>
  <cols>
    <col min="2" max="4" width="26.28515625" customWidth="1"/>
    <col min="6" max="6" width="26.28515625" customWidth="1"/>
    <col min="7" max="7" width="47.7109375" customWidth="1"/>
    <col min="8" max="8" width="18" customWidth="1"/>
    <col min="10" max="10" width="26.28515625" style="63" customWidth="1"/>
    <col min="11" max="11" width="45.28515625" customWidth="1"/>
  </cols>
  <sheetData>
    <row r="1" spans="1:10" x14ac:dyDescent="0.25">
      <c r="A1" s="127" t="s">
        <v>88</v>
      </c>
      <c r="B1" s="127" t="s">
        <v>565</v>
      </c>
      <c r="F1" s="128" t="s">
        <v>565</v>
      </c>
      <c r="G1" s="128" t="s">
        <v>566</v>
      </c>
      <c r="H1" s="128" t="s">
        <v>567</v>
      </c>
      <c r="J1" s="63" t="str">
        <f>'Pedido de Arquivamento'!G2</f>
        <v>NEOENERGIA COELBA</v>
      </c>
    </row>
    <row r="2" spans="1:11" x14ac:dyDescent="0.25">
      <c r="A2" s="129">
        <v>1</v>
      </c>
      <c r="B2" s="130" t="s">
        <v>568</v>
      </c>
      <c r="D2" t="str">
        <f>E2&amp;F2</f>
        <v>1NEOENERGIA PERNAMBUCO</v>
      </c>
      <c r="E2">
        <v>1</v>
      </c>
      <c r="F2" s="130" t="s">
        <v>568</v>
      </c>
      <c r="G2" s="131" t="s">
        <v>569</v>
      </c>
      <c r="H2" s="130"/>
      <c r="J2" s="63">
        <v>1</v>
      </c>
      <c r="K2" t="str">
        <f>IFERROR(VLOOKUP(J2&amp;$J$1,D:G,4,0),"")</f>
        <v>DEP ARRECADAÇÃO DISTRIBUIÇÃO</v>
      </c>
    </row>
    <row r="3" spans="1:11" x14ac:dyDescent="0.25">
      <c r="A3" s="129">
        <v>2</v>
      </c>
      <c r="B3" s="130" t="s">
        <v>5</v>
      </c>
      <c r="D3" t="str">
        <f t="shared" ref="D3:D66" si="0">E3&amp;F3</f>
        <v>2NEOENERGIA PERNAMBUCO</v>
      </c>
      <c r="E3">
        <v>2</v>
      </c>
      <c r="F3" s="130" t="s">
        <v>568</v>
      </c>
      <c r="G3" s="131" t="s">
        <v>570</v>
      </c>
      <c r="H3" s="130"/>
      <c r="J3" s="63">
        <v>2</v>
      </c>
      <c r="K3" t="str">
        <f t="shared" ref="K3:K66" si="1">IFERROR(VLOOKUP(J3&amp;$J$1,D:G,4,0),"")</f>
        <v>DEP ASSESSORIA DA PRESIDÊNCIA</v>
      </c>
    </row>
    <row r="4" spans="1:11" x14ac:dyDescent="0.25">
      <c r="A4" s="129">
        <v>3</v>
      </c>
      <c r="B4" s="130" t="s">
        <v>571</v>
      </c>
      <c r="D4" t="str">
        <f t="shared" si="0"/>
        <v>3NEOENERGIA PERNAMBUCO</v>
      </c>
      <c r="E4">
        <v>3</v>
      </c>
      <c r="F4" s="130" t="s">
        <v>568</v>
      </c>
      <c r="G4" s="131" t="s">
        <v>572</v>
      </c>
      <c r="H4" s="130"/>
      <c r="J4" s="63">
        <v>3</v>
      </c>
      <c r="K4" t="str">
        <f t="shared" si="1"/>
        <v>DEP ATENDIMENTO AO CLIENTE DISTRIBUIÇÃO</v>
      </c>
    </row>
    <row r="5" spans="1:11" x14ac:dyDescent="0.25">
      <c r="A5" s="129">
        <v>4</v>
      </c>
      <c r="B5" s="130" t="s">
        <v>573</v>
      </c>
      <c r="D5" t="str">
        <f t="shared" si="0"/>
        <v>4NEOENERGIA PERNAMBUCO</v>
      </c>
      <c r="E5">
        <v>4</v>
      </c>
      <c r="F5" s="130" t="s">
        <v>568</v>
      </c>
      <c r="G5" s="131" t="s">
        <v>574</v>
      </c>
      <c r="H5" s="130"/>
      <c r="J5" s="63">
        <v>4</v>
      </c>
      <c r="K5" t="str">
        <f t="shared" si="1"/>
        <v>DEP ATENDIMENTO COELBA</v>
      </c>
    </row>
    <row r="6" spans="1:11" x14ac:dyDescent="0.25">
      <c r="A6" s="129">
        <v>5</v>
      </c>
      <c r="B6" s="130" t="s">
        <v>575</v>
      </c>
      <c r="D6" t="str">
        <f t="shared" si="0"/>
        <v>5NEOENERGIA PERNAMBUCO</v>
      </c>
      <c r="E6">
        <v>5</v>
      </c>
      <c r="F6" s="130" t="s">
        <v>568</v>
      </c>
      <c r="G6" s="131" t="s">
        <v>576</v>
      </c>
      <c r="H6" s="130"/>
      <c r="J6" s="63">
        <v>5</v>
      </c>
      <c r="K6" t="str">
        <f t="shared" si="1"/>
        <v>DEP AUDITORIA INTERNA DIST</v>
      </c>
    </row>
    <row r="7" spans="1:11" x14ac:dyDescent="0.25">
      <c r="A7" s="129">
        <v>6</v>
      </c>
      <c r="B7" s="130" t="s">
        <v>577</v>
      </c>
      <c r="D7" t="str">
        <f t="shared" si="0"/>
        <v>6NEOENERGIA PERNAMBUCO</v>
      </c>
      <c r="E7">
        <v>6</v>
      </c>
      <c r="F7" s="130" t="s">
        <v>568</v>
      </c>
      <c r="G7" s="131" t="s">
        <v>578</v>
      </c>
      <c r="H7" s="130"/>
      <c r="J7" s="63">
        <v>6</v>
      </c>
      <c r="K7" t="str">
        <f t="shared" si="1"/>
        <v>DEP CADASTRO E FATURAMENTO DISTRIBUIÇÃO</v>
      </c>
    </row>
    <row r="8" spans="1:11" x14ac:dyDescent="0.25">
      <c r="A8" s="129">
        <v>7</v>
      </c>
      <c r="B8" s="130" t="s">
        <v>579</v>
      </c>
      <c r="D8" t="str">
        <f t="shared" si="0"/>
        <v>7NEOENERGIA PERNAMBUCO</v>
      </c>
      <c r="E8">
        <v>7</v>
      </c>
      <c r="F8" s="130" t="s">
        <v>568</v>
      </c>
      <c r="G8" s="131" t="s">
        <v>580</v>
      </c>
      <c r="H8" s="130"/>
      <c r="J8" s="63">
        <v>7</v>
      </c>
      <c r="K8" t="str">
        <f t="shared" si="1"/>
        <v>DEP COMPRA ENER CONTRA MUST DISTRIBUIÇÃO</v>
      </c>
    </row>
    <row r="9" spans="1:11" x14ac:dyDescent="0.25">
      <c r="A9" s="129">
        <v>8</v>
      </c>
      <c r="B9" s="130" t="s">
        <v>581</v>
      </c>
      <c r="D9" t="str">
        <f t="shared" si="0"/>
        <v>8NEOENERGIA PERNAMBUCO</v>
      </c>
      <c r="E9">
        <v>8</v>
      </c>
      <c r="F9" s="130" t="s">
        <v>568</v>
      </c>
      <c r="G9" s="131" t="s">
        <v>582</v>
      </c>
      <c r="H9" s="130"/>
      <c r="J9" s="63">
        <v>8</v>
      </c>
      <c r="K9" t="str">
        <f t="shared" si="1"/>
        <v>DEP CONSTRUÇÃO LD DISTRIBUIÇÃO</v>
      </c>
    </row>
    <row r="10" spans="1:11" x14ac:dyDescent="0.25">
      <c r="A10" s="129">
        <v>9</v>
      </c>
      <c r="B10" s="130" t="s">
        <v>583</v>
      </c>
      <c r="D10" t="str">
        <f t="shared" si="0"/>
        <v>9NEOENERGIA PERNAMBUCO</v>
      </c>
      <c r="E10">
        <v>9</v>
      </c>
      <c r="F10" s="130" t="s">
        <v>568</v>
      </c>
      <c r="G10" s="131" t="s">
        <v>584</v>
      </c>
      <c r="H10" s="130"/>
      <c r="J10" s="63">
        <v>9</v>
      </c>
      <c r="K10" t="str">
        <f t="shared" si="1"/>
        <v>DEP CONSTRUÇÃO SE DISTRIBUIÇÃO</v>
      </c>
    </row>
    <row r="11" spans="1:11" x14ac:dyDescent="0.25">
      <c r="A11" s="129">
        <v>10</v>
      </c>
      <c r="B11" s="130" t="s">
        <v>585</v>
      </c>
      <c r="D11" t="str">
        <f t="shared" si="0"/>
        <v>10NEOENERGIA PERNAMBUCO</v>
      </c>
      <c r="E11">
        <v>10</v>
      </c>
      <c r="F11" s="130" t="s">
        <v>568</v>
      </c>
      <c r="G11" s="131" t="s">
        <v>586</v>
      </c>
      <c r="H11" s="130"/>
      <c r="J11" s="63">
        <v>10</v>
      </c>
      <c r="K11" t="str">
        <f t="shared" si="1"/>
        <v>DEP CONTABILIDADE DISTRIBUIÇÃO NORDESTE</v>
      </c>
    </row>
    <row r="12" spans="1:11" x14ac:dyDescent="0.25">
      <c r="A12" s="129">
        <v>11</v>
      </c>
      <c r="B12" s="130" t="s">
        <v>587</v>
      </c>
      <c r="D12" t="str">
        <f t="shared" si="0"/>
        <v>11NEOENERGIA PERNAMBUCO</v>
      </c>
      <c r="E12">
        <v>11</v>
      </c>
      <c r="F12" s="130" t="s">
        <v>568</v>
      </c>
      <c r="G12" s="131" t="s">
        <v>588</v>
      </c>
      <c r="H12" s="130"/>
      <c r="J12" s="63">
        <v>11</v>
      </c>
      <c r="K12" t="str">
        <f t="shared" si="1"/>
        <v>DEP CONTROLE COELBA</v>
      </c>
    </row>
    <row r="13" spans="1:11" x14ac:dyDescent="0.25">
      <c r="A13" s="129">
        <v>12</v>
      </c>
      <c r="B13" s="130" t="s">
        <v>589</v>
      </c>
      <c r="D13" t="str">
        <f t="shared" si="0"/>
        <v>12NEOENERGIA PERNAMBUCO</v>
      </c>
      <c r="E13">
        <v>12</v>
      </c>
      <c r="F13" s="130" t="s">
        <v>568</v>
      </c>
      <c r="G13" s="131" t="s">
        <v>590</v>
      </c>
      <c r="H13" s="130"/>
      <c r="J13" s="63">
        <v>12</v>
      </c>
      <c r="K13" t="str">
        <f t="shared" si="1"/>
        <v>DEP CONTROLES INTERNOS FINANCEIROS</v>
      </c>
    </row>
    <row r="14" spans="4:11" x14ac:dyDescent="0.25">
      <c r="D14" t="str">
        <f t="shared" si="0"/>
        <v>13NEOENERGIA PERNAMBUCO</v>
      </c>
      <c r="E14">
        <v>13</v>
      </c>
      <c r="F14" s="130" t="s">
        <v>568</v>
      </c>
      <c r="G14" s="131" t="s">
        <v>591</v>
      </c>
      <c r="H14" s="130"/>
      <c r="J14" s="63">
        <v>13</v>
      </c>
      <c r="K14" t="str">
        <f t="shared" si="1"/>
        <v>DEP CONTROLES INTERNOS NÃO FINANCEIROS</v>
      </c>
    </row>
    <row r="15" spans="2:11" x14ac:dyDescent="0.25">
      <c r="B15" s="130" t="s">
        <v>2</v>
      </c>
      <c r="D15" t="str">
        <f t="shared" si="0"/>
        <v>14NEOENERGIA PERNAMBUCO</v>
      </c>
      <c r="E15">
        <v>14</v>
      </c>
      <c r="F15" s="130" t="s">
        <v>568</v>
      </c>
      <c r="G15" s="131" t="s">
        <v>592</v>
      </c>
      <c r="H15" s="130"/>
      <c r="J15" s="63">
        <v>14</v>
      </c>
      <c r="K15" t="str">
        <f t="shared" si="1"/>
        <v>DEP CORP ADM DE PESSOAL</v>
      </c>
    </row>
    <row r="16" spans="2:11" x14ac:dyDescent="0.25">
      <c r="B16" s="130" t="s">
        <v>593</v>
      </c>
      <c r="D16" t="str">
        <f t="shared" si="0"/>
        <v>15NEOENERGIA PERNAMBUCO</v>
      </c>
      <c r="E16">
        <v>15</v>
      </c>
      <c r="F16" s="130" t="s">
        <v>568</v>
      </c>
      <c r="G16" s="131" t="s">
        <v>594</v>
      </c>
      <c r="H16" s="130"/>
      <c r="J16" s="63">
        <v>15</v>
      </c>
      <c r="K16" t="str">
        <f t="shared" si="1"/>
        <v>DEP CORP ANÁLISE DE RESULTADOS E INVEST</v>
      </c>
    </row>
    <row r="17" spans="4:11" x14ac:dyDescent="0.25">
      <c r="D17" t="str">
        <f t="shared" si="0"/>
        <v>16NEOENERGIA PERNAMBUCO</v>
      </c>
      <c r="E17">
        <v>16</v>
      </c>
      <c r="F17" s="130" t="s">
        <v>568</v>
      </c>
      <c r="G17" s="131" t="s">
        <v>595</v>
      </c>
      <c r="H17" s="130"/>
      <c r="J17" s="63">
        <v>16</v>
      </c>
      <c r="K17" t="str">
        <f t="shared" si="1"/>
        <v>DEP CORP ATUARIAL</v>
      </c>
    </row>
    <row r="18" spans="4:11" x14ac:dyDescent="0.25">
      <c r="D18" t="str">
        <f t="shared" si="0"/>
        <v>17NEOENERGIA PERNAMBUCO</v>
      </c>
      <c r="E18">
        <v>17</v>
      </c>
      <c r="F18" s="130" t="s">
        <v>568</v>
      </c>
      <c r="G18" s="131" t="s">
        <v>596</v>
      </c>
      <c r="H18" s="130"/>
      <c r="J18" s="63">
        <v>17</v>
      </c>
      <c r="K18" t="str">
        <f t="shared" si="1"/>
        <v>DEP CORP BASE DE ATIVOS</v>
      </c>
    </row>
    <row r="19" spans="4:11" x14ac:dyDescent="0.25">
      <c r="D19" t="str">
        <f t="shared" si="0"/>
        <v>18NEOENERGIA PERNAMBUCO</v>
      </c>
      <c r="E19">
        <v>18</v>
      </c>
      <c r="F19" s="130" t="s">
        <v>568</v>
      </c>
      <c r="G19" s="131" t="s">
        <v>597</v>
      </c>
      <c r="H19" s="130"/>
      <c r="J19" s="63">
        <v>18</v>
      </c>
      <c r="K19" t="str">
        <f t="shared" si="1"/>
        <v>DEP CORP COMBATE E PREVENÇÃO INCÊNDIO</v>
      </c>
    </row>
    <row r="20" spans="4:11" x14ac:dyDescent="0.25">
      <c r="D20" t="str">
        <f t="shared" si="0"/>
        <v>19NEOENERGIA PERNAMBUCO</v>
      </c>
      <c r="E20">
        <v>19</v>
      </c>
      <c r="F20" s="130" t="s">
        <v>568</v>
      </c>
      <c r="G20" s="131" t="s">
        <v>598</v>
      </c>
      <c r="H20" s="130"/>
      <c r="J20" s="63">
        <v>19</v>
      </c>
      <c r="K20" t="str">
        <f t="shared" si="1"/>
        <v>DEP CORP COMPRA ÁGIL E IMPORTAÇÃO</v>
      </c>
    </row>
    <row r="21" spans="4:11" x14ac:dyDescent="0.25">
      <c r="D21" t="str">
        <f t="shared" si="0"/>
        <v>20NEOENERGIA PERNAMBUCO</v>
      </c>
      <c r="E21">
        <v>20</v>
      </c>
      <c r="F21" s="130" t="s">
        <v>568</v>
      </c>
      <c r="G21" s="131" t="s">
        <v>599</v>
      </c>
      <c r="H21" s="130"/>
      <c r="J21" s="63">
        <v>20</v>
      </c>
      <c r="K21" t="str">
        <f t="shared" si="1"/>
        <v>DEP CORP COMUNICAÇÃO INTERNA E CULTURA</v>
      </c>
    </row>
    <row r="22" spans="4:11" x14ac:dyDescent="0.25">
      <c r="D22" t="str">
        <f t="shared" si="0"/>
        <v>21NEOENERGIA PERNAMBUCO</v>
      </c>
      <c r="E22">
        <v>21</v>
      </c>
      <c r="F22" s="130" t="s">
        <v>568</v>
      </c>
      <c r="G22" s="131" t="s">
        <v>600</v>
      </c>
      <c r="H22" s="130"/>
      <c r="J22" s="63">
        <v>21</v>
      </c>
      <c r="K22" t="str">
        <f t="shared" si="1"/>
        <v>DEP CORP CONFORMIDADE REGULATÓRIA</v>
      </c>
    </row>
    <row r="23" spans="4:11" x14ac:dyDescent="0.25">
      <c r="D23" t="str">
        <f t="shared" si="0"/>
        <v>22NEOENERGIA PERNAMBUCO</v>
      </c>
      <c r="E23">
        <v>22</v>
      </c>
      <c r="F23" s="130" t="s">
        <v>568</v>
      </c>
      <c r="G23" s="131" t="s">
        <v>601</v>
      </c>
      <c r="H23" s="130"/>
      <c r="J23" s="63">
        <v>22</v>
      </c>
      <c r="K23" t="str">
        <f t="shared" si="1"/>
        <v>DEP CORP CONSOLIDAÇÃO EM EUROS</v>
      </c>
    </row>
    <row r="24" spans="4:11" x14ac:dyDescent="0.25">
      <c r="D24" t="str">
        <f t="shared" si="0"/>
        <v>23NEOENERGIA PERNAMBUCO</v>
      </c>
      <c r="E24">
        <v>23</v>
      </c>
      <c r="F24" s="130" t="s">
        <v>568</v>
      </c>
      <c r="G24" s="131" t="s">
        <v>602</v>
      </c>
      <c r="H24" s="130"/>
      <c r="J24" s="63">
        <v>23</v>
      </c>
      <c r="K24" t="str">
        <f t="shared" si="1"/>
        <v>DEP CORP CONSOLIDAÇÃO EM REAIS</v>
      </c>
    </row>
    <row r="25" spans="4:11" x14ac:dyDescent="0.25">
      <c r="D25" t="str">
        <f t="shared" si="0"/>
        <v>24NEOENERGIA PERNAMBUCO</v>
      </c>
      <c r="E25">
        <v>24</v>
      </c>
      <c r="F25" s="130" t="s">
        <v>568</v>
      </c>
      <c r="G25" s="131" t="s">
        <v>603</v>
      </c>
      <c r="H25" s="130"/>
      <c r="J25" s="63">
        <v>24</v>
      </c>
      <c r="K25" t="str">
        <f t="shared" si="1"/>
        <v>DEP CORP CONTAS A PAGAR</v>
      </c>
    </row>
    <row r="26" spans="4:11" x14ac:dyDescent="0.25">
      <c r="D26" t="str">
        <f t="shared" si="0"/>
        <v>25NEOENERGIA PERNAMBUCO</v>
      </c>
      <c r="E26">
        <v>25</v>
      </c>
      <c r="F26" s="130" t="s">
        <v>568</v>
      </c>
      <c r="G26" s="131" t="s">
        <v>604</v>
      </c>
      <c r="H26" s="130"/>
      <c r="J26" s="63">
        <v>25</v>
      </c>
      <c r="K26" t="str">
        <f t="shared" si="1"/>
        <v>DEP CORP CONTROLE ATIVOS DISTRIBUIÇÃO</v>
      </c>
    </row>
    <row r="27" spans="4:11" x14ac:dyDescent="0.25">
      <c r="D27" t="str">
        <f t="shared" si="0"/>
        <v>26NEOENERGIA PERNAMBUCO</v>
      </c>
      <c r="E27">
        <v>26</v>
      </c>
      <c r="F27" s="130" t="s">
        <v>568</v>
      </c>
      <c r="G27" s="131" t="s">
        <v>605</v>
      </c>
      <c r="H27" s="130"/>
      <c r="J27" s="63">
        <v>26</v>
      </c>
      <c r="K27" t="str">
        <f t="shared" si="1"/>
        <v>DEP CORP CONTROLE ATIVOS TRANS RENOV LIB</v>
      </c>
    </row>
    <row r="28" spans="4:11" x14ac:dyDescent="0.25">
      <c r="D28" t="str">
        <f t="shared" si="0"/>
        <v>27NEOENERGIA PERNAMBUCO</v>
      </c>
      <c r="E28">
        <v>27</v>
      </c>
      <c r="F28" s="130" t="s">
        <v>568</v>
      </c>
      <c r="G28" s="131" t="s">
        <v>606</v>
      </c>
      <c r="H28" s="130"/>
      <c r="J28" s="63">
        <v>27</v>
      </c>
      <c r="K28" t="str">
        <f t="shared" si="1"/>
        <v>DEP CORP CORPORAÇÃO ÚNICA</v>
      </c>
    </row>
    <row r="29" spans="4:11" x14ac:dyDescent="0.25">
      <c r="D29" t="str">
        <f t="shared" si="0"/>
        <v>28NEOENERGIA PERNAMBUCO</v>
      </c>
      <c r="E29">
        <v>28</v>
      </c>
      <c r="F29" s="130" t="s">
        <v>568</v>
      </c>
      <c r="G29" s="131" t="s">
        <v>607</v>
      </c>
      <c r="H29" s="130"/>
      <c r="J29" s="63">
        <v>28</v>
      </c>
      <c r="K29" t="str">
        <f t="shared" si="1"/>
        <v>DEP CORP DE APLICAÇÕES DE TI</v>
      </c>
    </row>
    <row r="30" spans="4:11" x14ac:dyDescent="0.25">
      <c r="D30" t="str">
        <f t="shared" si="0"/>
        <v>29NEOENERGIA PERNAMBUCO</v>
      </c>
      <c r="E30">
        <v>29</v>
      </c>
      <c r="F30" s="130" t="s">
        <v>568</v>
      </c>
      <c r="G30" s="131" t="s">
        <v>608</v>
      </c>
      <c r="H30" s="130"/>
      <c r="J30" s="63">
        <v>29</v>
      </c>
      <c r="K30" t="str">
        <f t="shared" si="1"/>
        <v>DEP CORP DE GESTÃO DE CAPITAL</v>
      </c>
    </row>
    <row r="31" spans="4:11" x14ac:dyDescent="0.25">
      <c r="D31" t="str">
        <f t="shared" si="0"/>
        <v>30NEOENERGIA PERNAMBUCO</v>
      </c>
      <c r="E31">
        <v>30</v>
      </c>
      <c r="F31" s="130" t="s">
        <v>568</v>
      </c>
      <c r="G31" s="131" t="s">
        <v>609</v>
      </c>
      <c r="H31" s="130"/>
      <c r="J31" s="63">
        <v>30</v>
      </c>
      <c r="K31" t="str">
        <f t="shared" si="1"/>
        <v>DEP CORP DE P&amp;D</v>
      </c>
    </row>
    <row r="32" spans="4:11" x14ac:dyDescent="0.25">
      <c r="D32" t="str">
        <f t="shared" si="0"/>
        <v>31NEOENERGIA PERNAMBUCO</v>
      </c>
      <c r="E32">
        <v>31</v>
      </c>
      <c r="F32" s="130" t="s">
        <v>568</v>
      </c>
      <c r="G32" s="131" t="s">
        <v>610</v>
      </c>
      <c r="H32" s="130"/>
      <c r="J32" s="63">
        <v>31</v>
      </c>
      <c r="K32" t="str">
        <f t="shared" si="1"/>
        <v>DEP CORP DE PLANEJAMENTO FINANCEIRO</v>
      </c>
    </row>
    <row r="33" spans="4:11" x14ac:dyDescent="0.25">
      <c r="D33" t="str">
        <f t="shared" si="0"/>
        <v>32NEOENERGIA PERNAMBUCO</v>
      </c>
      <c r="E33">
        <v>32</v>
      </c>
      <c r="F33" s="130" t="s">
        <v>568</v>
      </c>
      <c r="G33" s="131" t="s">
        <v>611</v>
      </c>
      <c r="H33" s="130"/>
      <c r="J33" s="63">
        <v>32</v>
      </c>
      <c r="K33" t="str">
        <f t="shared" si="1"/>
        <v>DEP CORP DE RELACIONAMENTO BANCÁRIO</v>
      </c>
    </row>
    <row r="34" spans="4:11" x14ac:dyDescent="0.25">
      <c r="D34" t="str">
        <f t="shared" si="0"/>
        <v>33NEOENERGIA PERNAMBUCO</v>
      </c>
      <c r="E34">
        <v>33</v>
      </c>
      <c r="F34" s="130" t="s">
        <v>568</v>
      </c>
      <c r="G34" s="131" t="s">
        <v>612</v>
      </c>
      <c r="H34" s="130"/>
      <c r="J34" s="63">
        <v>33</v>
      </c>
      <c r="K34" t="str">
        <f t="shared" si="1"/>
        <v>DEP CORP DE RELACIONAMENTO DE MERCADO</v>
      </c>
    </row>
    <row r="35" spans="4:11" x14ac:dyDescent="0.25">
      <c r="D35" t="str">
        <f t="shared" si="0"/>
        <v>34NEOENERGIA PERNAMBUCO</v>
      </c>
      <c r="E35">
        <v>34</v>
      </c>
      <c r="F35" s="130" t="s">
        <v>568</v>
      </c>
      <c r="G35" s="131" t="s">
        <v>613</v>
      </c>
      <c r="H35" s="130"/>
      <c r="J35" s="63">
        <v>34</v>
      </c>
      <c r="K35" t="str">
        <f t="shared" si="1"/>
        <v>DEP CORP DE RISCOS</v>
      </c>
    </row>
    <row r="36" spans="4:11" x14ac:dyDescent="0.25">
      <c r="D36" t="str">
        <f t="shared" si="0"/>
        <v>35NEOENERGIA PERNAMBUCO</v>
      </c>
      <c r="E36">
        <v>35</v>
      </c>
      <c r="F36" s="130" t="s">
        <v>568</v>
      </c>
      <c r="G36" s="131" t="s">
        <v>614</v>
      </c>
      <c r="H36" s="130"/>
      <c r="J36" s="63">
        <v>35</v>
      </c>
      <c r="K36" t="str">
        <f t="shared" si="1"/>
        <v>DEP CORP DE TRIBUTOS RENOV LIBERALIZ</v>
      </c>
    </row>
    <row r="37" spans="4:11" x14ac:dyDescent="0.25">
      <c r="D37" t="str">
        <f t="shared" si="0"/>
        <v>36NEOENERGIA PERNAMBUCO</v>
      </c>
      <c r="E37">
        <v>36</v>
      </c>
      <c r="F37" s="130" t="s">
        <v>568</v>
      </c>
      <c r="G37" s="131" t="s">
        <v>615</v>
      </c>
      <c r="H37" s="130"/>
      <c r="J37" s="63">
        <v>36</v>
      </c>
      <c r="K37" t="str">
        <f t="shared" si="1"/>
        <v>DEP CORP DERIV ATIVOS PROJ ESTRUTURADOS</v>
      </c>
    </row>
    <row r="38" spans="4:11" x14ac:dyDescent="0.25">
      <c r="D38" t="str">
        <f t="shared" si="0"/>
        <v>37NEOENERGIA PERNAMBUCO</v>
      </c>
      <c r="E38">
        <v>37</v>
      </c>
      <c r="F38" s="130" t="s">
        <v>568</v>
      </c>
      <c r="G38" s="131" t="s">
        <v>616</v>
      </c>
      <c r="H38" s="130"/>
      <c r="J38" s="63">
        <v>37</v>
      </c>
      <c r="K38" t="str">
        <f t="shared" si="1"/>
        <v>DEP CORP DESEMPENHO E INDICADORES</v>
      </c>
    </row>
    <row r="39" spans="4:11" x14ac:dyDescent="0.25">
      <c r="D39" t="str">
        <f t="shared" si="0"/>
        <v>38NEOENERGIA PERNAMBUCO</v>
      </c>
      <c r="E39">
        <v>38</v>
      </c>
      <c r="F39" s="130" t="s">
        <v>568</v>
      </c>
      <c r="G39" s="131" t="s">
        <v>617</v>
      </c>
      <c r="H39" s="130"/>
      <c r="J39" s="63">
        <v>38</v>
      </c>
      <c r="K39" t="str">
        <f t="shared" si="1"/>
        <v>DEP CORP EQUIPAMENTOS E MATERIAIS</v>
      </c>
    </row>
    <row r="40" spans="4:11" x14ac:dyDescent="0.25">
      <c r="D40" t="str">
        <f t="shared" si="0"/>
        <v>39NEOENERGIA PERNAMBUCO</v>
      </c>
      <c r="E40">
        <v>39</v>
      </c>
      <c r="F40" s="130" t="s">
        <v>568</v>
      </c>
      <c r="G40" s="131" t="s">
        <v>618</v>
      </c>
      <c r="H40" s="130"/>
      <c r="J40" s="63">
        <v>39</v>
      </c>
      <c r="K40" t="str">
        <f t="shared" si="1"/>
        <v>DEP CORP FINAN TESOUR BACK OFFICE</v>
      </c>
    </row>
    <row r="41" spans="4:11" x14ac:dyDescent="0.25">
      <c r="D41" t="str">
        <f t="shared" si="0"/>
        <v>40NEOENERGIA PERNAMBUCO</v>
      </c>
      <c r="E41">
        <v>40</v>
      </c>
      <c r="F41" s="130" t="s">
        <v>568</v>
      </c>
      <c r="G41" s="131" t="s">
        <v>619</v>
      </c>
      <c r="H41" s="130"/>
      <c r="J41" s="63">
        <v>40</v>
      </c>
      <c r="K41" t="str">
        <f t="shared" si="1"/>
        <v>DEP CORP FINAN TESOUR MIDDLE OFFICE</v>
      </c>
    </row>
    <row r="42" spans="4:11" x14ac:dyDescent="0.25">
      <c r="D42" t="str">
        <f t="shared" si="0"/>
        <v>41NEOENERGIA PERNAMBUCO</v>
      </c>
      <c r="E42">
        <v>41</v>
      </c>
      <c r="F42" s="130" t="s">
        <v>568</v>
      </c>
      <c r="G42" s="131" t="s">
        <v>620</v>
      </c>
      <c r="H42" s="130"/>
      <c r="J42" s="63">
        <v>41</v>
      </c>
      <c r="K42" t="str">
        <f t="shared" si="1"/>
        <v>DEP CORP FROTA</v>
      </c>
    </row>
    <row r="43" spans="4:11" x14ac:dyDescent="0.25">
      <c r="D43" t="str">
        <f t="shared" si="0"/>
        <v>42NEOENERGIA PERNAMBUCO</v>
      </c>
      <c r="E43">
        <v>42</v>
      </c>
      <c r="F43" s="130" t="s">
        <v>568</v>
      </c>
      <c r="G43" s="131" t="s">
        <v>621</v>
      </c>
      <c r="H43" s="130"/>
      <c r="J43" s="63">
        <v>42</v>
      </c>
      <c r="K43" t="str">
        <f t="shared" si="1"/>
        <v>DEP CORP GOVERNANÇA DE SERV GERAIS</v>
      </c>
    </row>
    <row r="44" spans="4:11" x14ac:dyDescent="0.25">
      <c r="D44" t="str">
        <f t="shared" si="0"/>
        <v>43NEOENERGIA PERNAMBUCO</v>
      </c>
      <c r="E44">
        <v>43</v>
      </c>
      <c r="F44" s="130" t="s">
        <v>568</v>
      </c>
      <c r="G44" s="131" t="s">
        <v>622</v>
      </c>
      <c r="H44" s="130"/>
      <c r="J44" s="63">
        <v>43</v>
      </c>
      <c r="K44" t="str">
        <f t="shared" si="1"/>
        <v>DEP CORP GOVERNANÇA E SEG DA INFORMAÇÃO</v>
      </c>
    </row>
    <row r="45" spans="4:11" x14ac:dyDescent="0.25">
      <c r="D45" t="str">
        <f t="shared" si="0"/>
        <v>44NEOENERGIA PERNAMBUCO</v>
      </c>
      <c r="E45">
        <v>44</v>
      </c>
      <c r="F45" s="130" t="s">
        <v>568</v>
      </c>
      <c r="G45" s="131" t="s">
        <v>623</v>
      </c>
      <c r="H45" s="130"/>
      <c r="J45" s="63">
        <v>44</v>
      </c>
      <c r="K45" t="str">
        <f t="shared" si="1"/>
        <v>DEP CORP IMÓVEIS E PATRIMÔNIO</v>
      </c>
    </row>
    <row r="46" spans="4:11" x14ac:dyDescent="0.25">
      <c r="D46" t="str">
        <f t="shared" si="0"/>
        <v>45NEOENERGIA PERNAMBUCO</v>
      </c>
      <c r="E46">
        <v>45</v>
      </c>
      <c r="F46" s="130" t="s">
        <v>568</v>
      </c>
      <c r="G46" s="131" t="s">
        <v>624</v>
      </c>
      <c r="H46" s="130"/>
      <c r="J46" s="63">
        <v>45</v>
      </c>
      <c r="K46" t="str">
        <f t="shared" si="1"/>
        <v>DEP CORP INFRAESTRUTURA E SUPORTE</v>
      </c>
    </row>
    <row r="47" spans="4:11" x14ac:dyDescent="0.25">
      <c r="D47" t="str">
        <f t="shared" si="0"/>
        <v>46NEOENERGIA PERNAMBUCO</v>
      </c>
      <c r="E47">
        <v>46</v>
      </c>
      <c r="F47" s="130" t="s">
        <v>568</v>
      </c>
      <c r="G47" s="131" t="s">
        <v>625</v>
      </c>
      <c r="H47" s="130"/>
      <c r="J47" s="63">
        <v>46</v>
      </c>
      <c r="K47" t="str">
        <f t="shared" si="1"/>
        <v>DEP CORP INOVAÇÃO E QUALIDADE</v>
      </c>
    </row>
    <row r="48" spans="4:11" x14ac:dyDescent="0.25">
      <c r="D48" t="str">
        <f t="shared" si="0"/>
        <v>47NEOENERGIA PERNAMBUCO</v>
      </c>
      <c r="E48">
        <v>47</v>
      </c>
      <c r="F48" s="130" t="s">
        <v>568</v>
      </c>
      <c r="G48" s="131" t="s">
        <v>626</v>
      </c>
      <c r="H48" s="130"/>
      <c r="J48" s="63">
        <v>47</v>
      </c>
      <c r="K48" t="str">
        <f t="shared" si="1"/>
        <v>DEP CORP JURÍDICO FINANÇAS E RECURSOS</v>
      </c>
    </row>
    <row r="49" spans="4:11" x14ac:dyDescent="0.25">
      <c r="D49" t="str">
        <f t="shared" si="0"/>
        <v>48NEOENERGIA PERNAMBUCO</v>
      </c>
      <c r="E49">
        <v>48</v>
      </c>
      <c r="F49" s="130" t="s">
        <v>568</v>
      </c>
      <c r="G49" s="131" t="s">
        <v>627</v>
      </c>
      <c r="H49" s="130"/>
      <c r="J49" s="63">
        <v>48</v>
      </c>
      <c r="K49" t="str">
        <f t="shared" si="1"/>
        <v>DEP CORP OPERAÇÃO E MANUT CONSTRUÇÃO</v>
      </c>
    </row>
    <row r="50" spans="4:11" x14ac:dyDescent="0.25">
      <c r="D50" t="str">
        <f t="shared" si="0"/>
        <v>49NEOENERGIA PERNAMBUCO</v>
      </c>
      <c r="E50">
        <v>49</v>
      </c>
      <c r="F50" s="130" t="s">
        <v>568</v>
      </c>
      <c r="G50" s="131" t="s">
        <v>628</v>
      </c>
      <c r="H50" s="130"/>
      <c r="J50" s="63">
        <v>49</v>
      </c>
      <c r="K50" t="str">
        <f t="shared" si="1"/>
        <v>DEP CORP PAGAMENTO E ATEND A FORNECEDOR</v>
      </c>
    </row>
    <row r="51" spans="4:11" x14ac:dyDescent="0.25">
      <c r="D51" t="str">
        <f t="shared" si="0"/>
        <v>50NEOENERGIA PERNAMBUCO</v>
      </c>
      <c r="E51">
        <v>50</v>
      </c>
      <c r="F51" s="130" t="s">
        <v>568</v>
      </c>
      <c r="G51" s="131" t="s">
        <v>629</v>
      </c>
      <c r="H51" s="130"/>
      <c r="J51" s="63">
        <v>50</v>
      </c>
      <c r="K51" t="str">
        <f t="shared" si="1"/>
        <v>DEP CORP PLATAFORMA SAP</v>
      </c>
    </row>
    <row r="52" spans="4:11" x14ac:dyDescent="0.25">
      <c r="D52" t="str">
        <f t="shared" si="0"/>
        <v>51NEOENERGIA PERNAMBUCO</v>
      </c>
      <c r="E52">
        <v>51</v>
      </c>
      <c r="F52" s="130" t="s">
        <v>568</v>
      </c>
      <c r="G52" s="131" t="s">
        <v>630</v>
      </c>
      <c r="H52" s="130"/>
      <c r="J52" s="63">
        <v>51</v>
      </c>
      <c r="K52" t="str">
        <f t="shared" si="1"/>
        <v>DEP CORP PRÁTICAS CONTÁBEIS</v>
      </c>
    </row>
    <row r="53" spans="4:11" x14ac:dyDescent="0.25">
      <c r="D53" t="str">
        <f t="shared" si="0"/>
        <v>52NEOENERGIA PERNAMBUCO</v>
      </c>
      <c r="E53">
        <v>52</v>
      </c>
      <c r="F53" s="130" t="s">
        <v>568</v>
      </c>
      <c r="G53" s="131" t="s">
        <v>631</v>
      </c>
      <c r="H53" s="130"/>
      <c r="J53" s="63">
        <v>52</v>
      </c>
      <c r="K53" t="str">
        <f t="shared" si="1"/>
        <v>DEP CORP PROCESSOS E SEGUROS</v>
      </c>
    </row>
    <row r="54" spans="4:11" x14ac:dyDescent="0.25">
      <c r="D54" t="str">
        <f t="shared" si="0"/>
        <v>53NEOENERGIA PERNAMBUCO</v>
      </c>
      <c r="E54">
        <v>53</v>
      </c>
      <c r="F54" s="130" t="s">
        <v>568</v>
      </c>
      <c r="G54" s="131" t="s">
        <v>632</v>
      </c>
      <c r="H54" s="130"/>
      <c r="J54" s="63">
        <v>53</v>
      </c>
      <c r="K54" t="str">
        <f t="shared" si="1"/>
        <v>DEP CORP PROJETOS DE RH</v>
      </c>
    </row>
    <row r="55" spans="4:11" x14ac:dyDescent="0.25">
      <c r="D55" t="str">
        <f t="shared" si="0"/>
        <v>54NEOENERGIA PERNAMBUCO</v>
      </c>
      <c r="E55">
        <v>54</v>
      </c>
      <c r="F55" s="130" t="s">
        <v>568</v>
      </c>
      <c r="G55" s="131" t="s">
        <v>633</v>
      </c>
      <c r="H55" s="130"/>
      <c r="J55" s="63">
        <v>54</v>
      </c>
      <c r="K55" t="str">
        <f t="shared" si="1"/>
        <v>DEP CORP RECRUTAMENTO E SELEÇÃO</v>
      </c>
    </row>
    <row r="56" spans="4:11" x14ac:dyDescent="0.25">
      <c r="D56" t="str">
        <f t="shared" si="0"/>
        <v>55NEOENERGIA PERNAMBUCO</v>
      </c>
      <c r="E56">
        <v>55</v>
      </c>
      <c r="F56" s="130" t="s">
        <v>568</v>
      </c>
      <c r="G56" s="131" t="s">
        <v>634</v>
      </c>
      <c r="H56" s="130"/>
      <c r="J56" s="63">
        <v>55</v>
      </c>
      <c r="K56" t="str">
        <f t="shared" si="1"/>
        <v>DEP CORP REGULAÇÃO ESTRATÉGICA</v>
      </c>
    </row>
    <row r="57" spans="4:11" x14ac:dyDescent="0.25">
      <c r="D57" t="str">
        <f t="shared" si="0"/>
        <v>56NEOENERGIA PERNAMBUCO</v>
      </c>
      <c r="E57">
        <v>56</v>
      </c>
      <c r="F57" s="130" t="s">
        <v>568</v>
      </c>
      <c r="G57" s="131" t="s">
        <v>635</v>
      </c>
      <c r="H57" s="130"/>
      <c r="J57" s="63">
        <v>56</v>
      </c>
      <c r="K57" t="str">
        <f t="shared" si="1"/>
        <v>DEP CORP REMUNERAÇÃO E BENEFÍCIOS</v>
      </c>
    </row>
    <row r="58" spans="4:11" x14ac:dyDescent="0.25">
      <c r="D58" t="str">
        <f t="shared" si="0"/>
        <v>57NEOENERGIA PERNAMBUCO</v>
      </c>
      <c r="E58">
        <v>57</v>
      </c>
      <c r="F58" s="130" t="s">
        <v>568</v>
      </c>
      <c r="G58" s="131" t="s">
        <v>636</v>
      </c>
      <c r="H58" s="130"/>
      <c r="J58" s="63">
        <v>57</v>
      </c>
      <c r="K58" t="str">
        <f t="shared" si="1"/>
        <v>DEP CORP SAÚDE E SEGURANÇA</v>
      </c>
    </row>
    <row r="59" spans="4:11" x14ac:dyDescent="0.25">
      <c r="D59" t="str">
        <f t="shared" si="0"/>
        <v>58NEOENERGIA PERNAMBUCO</v>
      </c>
      <c r="E59">
        <v>58</v>
      </c>
      <c r="F59" s="130" t="s">
        <v>568</v>
      </c>
      <c r="G59" s="131" t="s">
        <v>637</v>
      </c>
      <c r="H59" s="130"/>
      <c r="J59" s="63">
        <v>58</v>
      </c>
      <c r="K59" t="str">
        <f t="shared" si="1"/>
        <v>DEP CORP SEGURANÇA DIGITAL</v>
      </c>
    </row>
    <row r="60" spans="4:11" x14ac:dyDescent="0.25">
      <c r="D60" t="str">
        <f t="shared" si="0"/>
        <v>59NEOENERGIA PERNAMBUCO</v>
      </c>
      <c r="E60">
        <v>59</v>
      </c>
      <c r="F60" s="130" t="s">
        <v>568</v>
      </c>
      <c r="G60" s="131" t="s">
        <v>638</v>
      </c>
      <c r="H60" s="130"/>
      <c r="J60" s="63">
        <v>59</v>
      </c>
      <c r="K60" t="str">
        <f t="shared" si="1"/>
        <v>DEP CORP SERVIÇOS CORPORATIVOS</v>
      </c>
    </row>
    <row r="61" spans="4:11" x14ac:dyDescent="0.25">
      <c r="D61" t="str">
        <f t="shared" si="0"/>
        <v>60NEOENERGIA PERNAMBUCO</v>
      </c>
      <c r="E61">
        <v>60</v>
      </c>
      <c r="F61" s="130" t="s">
        <v>568</v>
      </c>
      <c r="G61" s="131" t="s">
        <v>639</v>
      </c>
      <c r="H61" s="130"/>
      <c r="J61" s="63">
        <v>60</v>
      </c>
      <c r="K61" t="str">
        <f t="shared" si="1"/>
        <v>DEP CORP SUSTENTAB E MUD CLIMÁTICA</v>
      </c>
    </row>
    <row r="62" spans="4:11" x14ac:dyDescent="0.25">
      <c r="D62" t="str">
        <f t="shared" si="0"/>
        <v>61NEOENERGIA PERNAMBUCO</v>
      </c>
      <c r="E62">
        <v>61</v>
      </c>
      <c r="F62" s="130" t="s">
        <v>568</v>
      </c>
      <c r="G62" s="131" t="s">
        <v>640</v>
      </c>
      <c r="H62" s="130"/>
      <c r="J62" s="63">
        <v>61</v>
      </c>
      <c r="K62" t="str">
        <f t="shared" si="1"/>
        <v>DEP CORP TI/TELECOM E RH</v>
      </c>
    </row>
    <row r="63" spans="4:11" x14ac:dyDescent="0.25">
      <c r="D63" t="str">
        <f t="shared" si="0"/>
        <v>62NEOENERGIA PERNAMBUCO</v>
      </c>
      <c r="E63">
        <v>62</v>
      </c>
      <c r="F63" s="130" t="s">
        <v>568</v>
      </c>
      <c r="G63" s="131" t="s">
        <v>641</v>
      </c>
      <c r="H63" s="130"/>
      <c r="J63" s="63">
        <v>62</v>
      </c>
      <c r="K63" t="str">
        <f t="shared" si="1"/>
        <v>DEP CORP TREINAMENTO</v>
      </c>
    </row>
    <row r="64" spans="4:11" x14ac:dyDescent="0.25">
      <c r="D64" t="str">
        <f t="shared" si="0"/>
        <v>63NEOENERGIA PERNAMBUCO</v>
      </c>
      <c r="E64">
        <v>63</v>
      </c>
      <c r="F64" s="130" t="s">
        <v>568</v>
      </c>
      <c r="G64" s="131" t="s">
        <v>642</v>
      </c>
      <c r="H64" s="130"/>
      <c r="J64" s="63">
        <v>63</v>
      </c>
      <c r="K64" t="str">
        <f t="shared" si="1"/>
        <v>DEP CORP TRIB ESTADUAIS MUNICIPAIS REDES</v>
      </c>
    </row>
    <row r="65" spans="4:11" x14ac:dyDescent="0.25">
      <c r="D65" t="str">
        <f t="shared" si="0"/>
        <v>64NEOENERGIA PERNAMBUCO</v>
      </c>
      <c r="E65">
        <v>64</v>
      </c>
      <c r="F65" s="130" t="s">
        <v>568</v>
      </c>
      <c r="G65" s="131" t="s">
        <v>643</v>
      </c>
      <c r="H65" s="130"/>
      <c r="J65" s="63">
        <v>64</v>
      </c>
      <c r="K65" t="str">
        <f t="shared" si="1"/>
        <v>DEP DE AUDITORIA INTERNA DISTRIBUIÇÃO</v>
      </c>
    </row>
    <row r="66" spans="4:11" x14ac:dyDescent="0.25">
      <c r="D66" t="str">
        <f t="shared" si="0"/>
        <v>65NEOENERGIA PERNAMBUCO</v>
      </c>
      <c r="E66">
        <v>65</v>
      </c>
      <c r="F66" s="130" t="s">
        <v>568</v>
      </c>
      <c r="G66" s="131" t="s">
        <v>644</v>
      </c>
      <c r="H66" s="130"/>
      <c r="J66" s="63">
        <v>65</v>
      </c>
      <c r="K66" t="str">
        <f t="shared" si="1"/>
        <v>DEP DE COMPLIANCE DISTRIBUIÇÃO</v>
      </c>
    </row>
    <row r="67" spans="4:11" x14ac:dyDescent="0.25">
      <c r="D67" t="str">
        <f t="shared" ref="D67:D130" si="2">E67&amp;F67</f>
        <v>66NEOENERGIA PERNAMBUCO</v>
      </c>
      <c r="E67">
        <v>66</v>
      </c>
      <c r="F67" s="130" t="s">
        <v>568</v>
      </c>
      <c r="G67" s="131" t="s">
        <v>645</v>
      </c>
      <c r="H67" s="130"/>
      <c r="J67" s="63">
        <v>66</v>
      </c>
      <c r="K67" t="str">
        <f t="shared" ref="K67:K130" si="3">IFERROR(VLOOKUP(J67&amp;$J$1,D:G,4,0),"")</f>
        <v>DEP DE COMPLIANCE GERAÇÃO/RENOVÁVEIS</v>
      </c>
    </row>
    <row r="68" spans="4:11" x14ac:dyDescent="0.25">
      <c r="D68" t="str">
        <f t="shared" si="2"/>
        <v>67NEOENERGIA PERNAMBUCO</v>
      </c>
      <c r="E68">
        <v>67</v>
      </c>
      <c r="F68" s="130" t="s">
        <v>568</v>
      </c>
      <c r="G68" s="131" t="s">
        <v>646</v>
      </c>
      <c r="H68" s="130"/>
      <c r="J68" s="63">
        <v>67</v>
      </c>
      <c r="K68" t="str">
        <f t="shared" si="3"/>
        <v>DEP DE LEITURA DISTRIBUIÇÃO</v>
      </c>
    </row>
    <row r="69" spans="4:11" x14ac:dyDescent="0.25">
      <c r="D69" t="str">
        <f t="shared" si="2"/>
        <v>68NEOENERGIA PERNAMBUCO</v>
      </c>
      <c r="E69">
        <v>68</v>
      </c>
      <c r="F69" s="130" t="s">
        <v>568</v>
      </c>
      <c r="G69" s="131" t="s">
        <v>647</v>
      </c>
      <c r="H69" s="130"/>
      <c r="J69" s="63">
        <v>68</v>
      </c>
      <c r="K69" t="str">
        <f t="shared" si="3"/>
        <v>DEP DE REGULAÇÃO COMERCIALIZAÇÃO</v>
      </c>
    </row>
    <row r="70" spans="4:11" x14ac:dyDescent="0.25">
      <c r="D70" t="str">
        <f t="shared" si="2"/>
        <v>69NEOENERGIA PERNAMBUCO</v>
      </c>
      <c r="E70">
        <v>69</v>
      </c>
      <c r="F70" s="130" t="s">
        <v>568</v>
      </c>
      <c r="G70" s="131" t="s">
        <v>648</v>
      </c>
      <c r="H70" s="130"/>
      <c r="J70" s="63">
        <v>69</v>
      </c>
      <c r="K70" t="str">
        <f t="shared" si="3"/>
        <v>DEP DESEMPENHO DA OPERAÇÃO COELBA</v>
      </c>
    </row>
    <row r="71" spans="4:11" x14ac:dyDescent="0.25">
      <c r="D71" t="str">
        <f t="shared" si="2"/>
        <v>70NEOENERGIA PERNAMBUCO</v>
      </c>
      <c r="E71">
        <v>70</v>
      </c>
      <c r="F71" s="130" t="s">
        <v>568</v>
      </c>
      <c r="G71" s="131" t="s">
        <v>649</v>
      </c>
      <c r="H71" s="130"/>
      <c r="J71" s="63">
        <v>70</v>
      </c>
      <c r="K71" t="str">
        <f t="shared" si="3"/>
        <v>DEP EFICIÊNCIA ENERGÉTICA DISTRIBUIÇÃO</v>
      </c>
    </row>
    <row r="72" spans="4:11" x14ac:dyDescent="0.25">
      <c r="D72" t="str">
        <f t="shared" si="2"/>
        <v>71NEOENERGIA PERNAMBUCO</v>
      </c>
      <c r="E72">
        <v>71</v>
      </c>
      <c r="F72" s="130" t="s">
        <v>568</v>
      </c>
      <c r="G72" s="131" t="s">
        <v>650</v>
      </c>
      <c r="H72" s="130"/>
      <c r="J72" s="63">
        <v>71</v>
      </c>
      <c r="K72" t="str">
        <f t="shared" si="3"/>
        <v>DEP ESTRATÉGIA E SERV DIGIT DISTRIBUIÇÃO</v>
      </c>
    </row>
    <row r="73" spans="4:11" x14ac:dyDescent="0.25">
      <c r="D73" t="str">
        <f t="shared" si="2"/>
        <v>72NEOENERGIA PERNAMBUCO</v>
      </c>
      <c r="E73">
        <v>72</v>
      </c>
      <c r="F73" s="130" t="s">
        <v>568</v>
      </c>
      <c r="G73" s="131" t="s">
        <v>651</v>
      </c>
      <c r="H73" s="130"/>
      <c r="J73" s="63">
        <v>72</v>
      </c>
      <c r="K73" t="str">
        <f t="shared" si="3"/>
        <v>DEP FUNDIÁRIO TRANSMISSÃO</v>
      </c>
    </row>
    <row r="74" spans="4:11" x14ac:dyDescent="0.25">
      <c r="D74" t="str">
        <f t="shared" si="2"/>
        <v>73NEOENERGIA PERNAMBUCO</v>
      </c>
      <c r="E74">
        <v>73</v>
      </c>
      <c r="F74" s="130" t="s">
        <v>568</v>
      </c>
      <c r="G74" s="131" t="s">
        <v>652</v>
      </c>
      <c r="H74" s="130"/>
      <c r="J74" s="63">
        <v>73</v>
      </c>
      <c r="K74" t="str">
        <f t="shared" si="3"/>
        <v>DEP GESTÃO BASE DE DADOS DA DISTRIBUIÇÃO</v>
      </c>
    </row>
    <row r="75" spans="4:11" x14ac:dyDescent="0.25">
      <c r="D75" t="str">
        <f t="shared" si="2"/>
        <v>74NEOENERGIA PERNAMBUCO</v>
      </c>
      <c r="E75">
        <v>74</v>
      </c>
      <c r="F75" s="130" t="s">
        <v>568</v>
      </c>
      <c r="G75" s="131" t="s">
        <v>653</v>
      </c>
      <c r="H75" s="130"/>
      <c r="J75" s="63">
        <v>74</v>
      </c>
      <c r="K75" t="str">
        <f t="shared" si="3"/>
        <v>DEP GESTÃO DA RECEITA COELBA</v>
      </c>
    </row>
    <row r="76" spans="4:11" x14ac:dyDescent="0.25">
      <c r="D76" t="str">
        <f t="shared" si="2"/>
        <v>75NEOENERGIA PERNAMBUCO</v>
      </c>
      <c r="E76">
        <v>75</v>
      </c>
      <c r="F76" s="130" t="s">
        <v>568</v>
      </c>
      <c r="G76" s="131" t="s">
        <v>654</v>
      </c>
      <c r="H76" s="130"/>
      <c r="J76" s="63">
        <v>75</v>
      </c>
      <c r="K76" t="str">
        <f t="shared" si="3"/>
        <v>DEP GESTÃO DO NEGÓCIO DISTRIBUIÇÃO</v>
      </c>
    </row>
    <row r="77" spans="4:11" x14ac:dyDescent="0.25">
      <c r="D77" t="str">
        <f t="shared" si="2"/>
        <v>76NEOENERGIA PERNAMBUCO</v>
      </c>
      <c r="E77">
        <v>76</v>
      </c>
      <c r="F77" s="130" t="s">
        <v>568</v>
      </c>
      <c r="G77" s="131" t="s">
        <v>655</v>
      </c>
      <c r="H77" s="130"/>
      <c r="J77" s="63">
        <v>76</v>
      </c>
      <c r="K77" t="str">
        <f t="shared" si="3"/>
        <v>DEP GESTÃO EXPER CLIENTE DISTRIBUIÇÃO</v>
      </c>
    </row>
    <row r="78" spans="4:11" x14ac:dyDescent="0.25">
      <c r="D78" t="str">
        <f t="shared" si="2"/>
        <v>77NEOENERGIA PERNAMBUCO</v>
      </c>
      <c r="E78">
        <v>77</v>
      </c>
      <c r="F78" s="130" t="s">
        <v>568</v>
      </c>
      <c r="G78" s="131" t="s">
        <v>656</v>
      </c>
      <c r="H78" s="130"/>
      <c r="J78" s="63">
        <v>77</v>
      </c>
      <c r="K78" t="str">
        <f t="shared" si="3"/>
        <v>DEP GESTÃO TÉCNICA DE ATIVOS E EPS DISTR</v>
      </c>
    </row>
    <row r="79" spans="4:11" x14ac:dyDescent="0.25">
      <c r="D79" t="str">
        <f t="shared" si="2"/>
        <v>78NEOENERGIA PERNAMBUCO</v>
      </c>
      <c r="E79">
        <v>78</v>
      </c>
      <c r="F79" s="130" t="s">
        <v>568</v>
      </c>
      <c r="G79" s="131" t="s">
        <v>657</v>
      </c>
      <c r="H79" s="130"/>
      <c r="J79" s="63">
        <v>78</v>
      </c>
      <c r="K79" t="str">
        <f t="shared" si="3"/>
        <v>DEP GRANDES CLIENTES COELBA</v>
      </c>
    </row>
    <row r="80" spans="4:11" x14ac:dyDescent="0.25">
      <c r="D80" t="str">
        <f t="shared" si="2"/>
        <v>79NEOENERGIA PERNAMBUCO</v>
      </c>
      <c r="E80">
        <v>79</v>
      </c>
      <c r="F80" s="130" t="s">
        <v>568</v>
      </c>
      <c r="G80" s="131" t="s">
        <v>658</v>
      </c>
      <c r="H80" s="130"/>
      <c r="J80" s="63">
        <v>79</v>
      </c>
      <c r="K80" t="str">
        <f t="shared" si="3"/>
        <v>DEP JURÍDICO COELBA</v>
      </c>
    </row>
    <row r="81" spans="4:11" x14ac:dyDescent="0.25">
      <c r="D81" t="str">
        <f t="shared" si="2"/>
        <v>80NEOENERGIA PERNAMBUCO</v>
      </c>
      <c r="E81">
        <v>80</v>
      </c>
      <c r="F81" s="130" t="s">
        <v>568</v>
      </c>
      <c r="G81" s="131" t="s">
        <v>659</v>
      </c>
      <c r="H81" s="130"/>
      <c r="J81" s="63">
        <v>80</v>
      </c>
      <c r="K81" t="str">
        <f t="shared" si="3"/>
        <v>DEP LOGÍSTICA DISTRIBUIÇÃO</v>
      </c>
    </row>
    <row r="82" spans="4:11" x14ac:dyDescent="0.25">
      <c r="D82" t="str">
        <f t="shared" si="2"/>
        <v>81NEOENERGIA PERNAMBUCO</v>
      </c>
      <c r="E82">
        <v>81</v>
      </c>
      <c r="F82" s="130" t="s">
        <v>568</v>
      </c>
      <c r="G82" s="131" t="s">
        <v>660</v>
      </c>
      <c r="H82" s="130"/>
      <c r="J82" s="63">
        <v>81</v>
      </c>
      <c r="K82" t="str">
        <f t="shared" si="3"/>
        <v>DEP MANUT SUBTRANSMISSÃO NORTE COELBA</v>
      </c>
    </row>
    <row r="83" spans="4:11" x14ac:dyDescent="0.25">
      <c r="D83" t="str">
        <f t="shared" si="2"/>
        <v>82NEOENERGIA PERNAMBUCO</v>
      </c>
      <c r="E83">
        <v>82</v>
      </c>
      <c r="F83" s="130" t="s">
        <v>568</v>
      </c>
      <c r="G83" s="131" t="s">
        <v>661</v>
      </c>
      <c r="H83" s="130"/>
      <c r="J83" s="63">
        <v>82</v>
      </c>
      <c r="K83" t="str">
        <f t="shared" si="3"/>
        <v>DEP MANUT SUBTRANSMISSÃO OESTE COELBA</v>
      </c>
    </row>
    <row r="84" spans="4:11" x14ac:dyDescent="0.25">
      <c r="D84" t="str">
        <f t="shared" si="2"/>
        <v>83NEOENERGIA PERNAMBUCO</v>
      </c>
      <c r="E84">
        <v>83</v>
      </c>
      <c r="F84" s="130" t="s">
        <v>568</v>
      </c>
      <c r="G84" s="131" t="s">
        <v>662</v>
      </c>
      <c r="H84" s="130"/>
      <c r="J84" s="63">
        <v>83</v>
      </c>
      <c r="K84" t="str">
        <f t="shared" si="3"/>
        <v>DEP MANUT SUBTRANSMISSÃO SUL COELBA</v>
      </c>
    </row>
    <row r="85" spans="4:11" x14ac:dyDescent="0.25">
      <c r="D85" t="str">
        <f t="shared" si="2"/>
        <v>84NEOENERGIA PERNAMBUCO</v>
      </c>
      <c r="E85">
        <v>84</v>
      </c>
      <c r="F85" s="130" t="s">
        <v>568</v>
      </c>
      <c r="G85" s="131" t="s">
        <v>663</v>
      </c>
      <c r="H85" s="130"/>
      <c r="J85" s="63">
        <v>84</v>
      </c>
      <c r="K85" t="str">
        <f t="shared" si="3"/>
        <v>DEP MARKETING INSTITUCIONAL</v>
      </c>
    </row>
    <row r="86" spans="4:11" x14ac:dyDescent="0.25">
      <c r="D86" t="str">
        <f t="shared" si="2"/>
        <v>85NEOENERGIA PERNAMBUCO</v>
      </c>
      <c r="E86">
        <v>85</v>
      </c>
      <c r="F86" s="130" t="s">
        <v>568</v>
      </c>
      <c r="G86" s="131" t="s">
        <v>664</v>
      </c>
      <c r="H86" s="130"/>
      <c r="J86" s="63">
        <v>85</v>
      </c>
      <c r="K86" t="str">
        <f t="shared" si="3"/>
        <v>DEP MEIO AMBIENTE TRANSMISSÃO</v>
      </c>
    </row>
    <row r="87" spans="4:11" x14ac:dyDescent="0.25">
      <c r="D87" t="str">
        <f t="shared" si="2"/>
        <v>86NEOENERGIA PERNAMBUCO</v>
      </c>
      <c r="E87">
        <v>86</v>
      </c>
      <c r="F87" s="130" t="s">
        <v>568</v>
      </c>
      <c r="G87" s="131" t="s">
        <v>665</v>
      </c>
      <c r="H87" s="130"/>
      <c r="J87" s="63">
        <v>86</v>
      </c>
      <c r="K87" t="str">
        <f t="shared" si="3"/>
        <v>DEP OPERAÇÃO CENTRO COELBA</v>
      </c>
    </row>
    <row r="88" spans="4:11" x14ac:dyDescent="0.25">
      <c r="D88" t="str">
        <f t="shared" si="2"/>
        <v>87NEOENERGIA PERNAMBUCO</v>
      </c>
      <c r="E88">
        <v>87</v>
      </c>
      <c r="F88" s="130" t="s">
        <v>568</v>
      </c>
      <c r="G88" s="131" t="s">
        <v>666</v>
      </c>
      <c r="H88" s="130"/>
      <c r="J88" s="63">
        <v>87</v>
      </c>
      <c r="K88" t="str">
        <f t="shared" si="3"/>
        <v>DEP OPERAÇÃO CENTRO OESTE COELBA</v>
      </c>
    </row>
    <row r="89" spans="4:11" x14ac:dyDescent="0.25">
      <c r="D89" t="str">
        <f t="shared" si="2"/>
        <v>88NEOENERGIA PERNAMBUCO</v>
      </c>
      <c r="E89">
        <v>88</v>
      </c>
      <c r="F89" s="130" t="s">
        <v>568</v>
      </c>
      <c r="G89" s="131" t="s">
        <v>667</v>
      </c>
      <c r="H89" s="130"/>
      <c r="J89" s="63">
        <v>88</v>
      </c>
      <c r="K89" t="str">
        <f t="shared" si="3"/>
        <v>DEP OPERAÇÃO CENTRO SUL COELBA</v>
      </c>
    </row>
    <row r="90" spans="4:11" x14ac:dyDescent="0.25">
      <c r="D90" t="str">
        <f t="shared" si="2"/>
        <v>89NEOENERGIA PERNAMBUCO</v>
      </c>
      <c r="E90">
        <v>89</v>
      </c>
      <c r="F90" s="130" t="s">
        <v>568</v>
      </c>
      <c r="G90" s="131" t="s">
        <v>668</v>
      </c>
      <c r="H90" s="130"/>
      <c r="J90" s="63">
        <v>89</v>
      </c>
      <c r="K90" t="str">
        <f t="shared" si="3"/>
        <v>DEP OPERAÇÃO DO SISTEMA ELÉTRICO COELBA</v>
      </c>
    </row>
    <row r="91" spans="4:11" x14ac:dyDescent="0.25">
      <c r="D91" t="str">
        <f t="shared" si="2"/>
        <v>90NEOENERGIA PERNAMBUCO</v>
      </c>
      <c r="E91">
        <v>90</v>
      </c>
      <c r="F91" s="130" t="s">
        <v>568</v>
      </c>
      <c r="G91" s="131" t="s">
        <v>669</v>
      </c>
      <c r="H91" s="130"/>
      <c r="J91" s="63">
        <v>90</v>
      </c>
      <c r="K91" t="str">
        <f t="shared" si="3"/>
        <v>DEP OPERAÇÃO METROPOLITANA COELBA</v>
      </c>
    </row>
    <row r="92" spans="4:11" x14ac:dyDescent="0.25">
      <c r="D92" t="str">
        <f t="shared" si="2"/>
        <v>91NEOENERGIA PERNAMBUCO</v>
      </c>
      <c r="E92">
        <v>91</v>
      </c>
      <c r="F92" s="130" t="s">
        <v>568</v>
      </c>
      <c r="G92" s="131" t="s">
        <v>670</v>
      </c>
      <c r="H92" s="130"/>
      <c r="J92" s="63">
        <v>91</v>
      </c>
      <c r="K92" t="str">
        <f t="shared" si="3"/>
        <v>DEP OPERAÇÃO NORDESTE COELBA</v>
      </c>
    </row>
    <row r="93" spans="4:11" x14ac:dyDescent="0.25">
      <c r="D93" t="str">
        <f t="shared" si="2"/>
        <v>92NEOENERGIA PERNAMBUCO</v>
      </c>
      <c r="E93">
        <v>92</v>
      </c>
      <c r="F93" s="130" t="s">
        <v>568</v>
      </c>
      <c r="G93" s="131" t="s">
        <v>671</v>
      </c>
      <c r="H93" s="130"/>
      <c r="J93" s="63">
        <v>92</v>
      </c>
      <c r="K93" t="str">
        <f t="shared" si="3"/>
        <v>DEP OPERAÇÃO NORTE COELBA</v>
      </c>
    </row>
    <row r="94" spans="4:11" x14ac:dyDescent="0.25">
      <c r="D94" t="str">
        <f t="shared" si="2"/>
        <v>93NEOENERGIA PERNAMBUCO</v>
      </c>
      <c r="E94">
        <v>93</v>
      </c>
      <c r="F94" s="130" t="s">
        <v>568</v>
      </c>
      <c r="G94" s="131" t="s">
        <v>672</v>
      </c>
      <c r="H94" s="130"/>
      <c r="J94" s="63">
        <v>93</v>
      </c>
      <c r="K94" t="str">
        <f t="shared" si="3"/>
        <v>DEP OPERAÇÃO OESTE COELBA</v>
      </c>
    </row>
    <row r="95" spans="4:11" x14ac:dyDescent="0.25">
      <c r="D95" t="str">
        <f t="shared" si="2"/>
        <v>94NEOENERGIA PERNAMBUCO</v>
      </c>
      <c r="E95">
        <v>94</v>
      </c>
      <c r="F95" s="130" t="s">
        <v>568</v>
      </c>
      <c r="G95" s="131" t="s">
        <v>673</v>
      </c>
      <c r="H95" s="130"/>
      <c r="J95" s="63">
        <v>94</v>
      </c>
      <c r="K95" t="str">
        <f t="shared" si="3"/>
        <v>DEP OPERAÇÃO SALVADOR COELBA</v>
      </c>
    </row>
    <row r="96" spans="4:11" x14ac:dyDescent="0.25">
      <c r="D96" t="str">
        <f t="shared" si="2"/>
        <v>95NEOENERGIA PERNAMBUCO</v>
      </c>
      <c r="E96">
        <v>95</v>
      </c>
      <c r="F96" s="130" t="s">
        <v>568</v>
      </c>
      <c r="G96" s="131" t="s">
        <v>674</v>
      </c>
      <c r="H96" s="130"/>
      <c r="J96" s="63">
        <v>95</v>
      </c>
      <c r="K96" t="str">
        <f t="shared" si="3"/>
        <v>DEP OPERAÇÃO SUDOESTE COELBA</v>
      </c>
    </row>
    <row r="97" spans="4:11" x14ac:dyDescent="0.25">
      <c r="D97" t="str">
        <f t="shared" si="2"/>
        <v>96NEOENERGIA PERNAMBUCO</v>
      </c>
      <c r="E97">
        <v>96</v>
      </c>
      <c r="F97" s="130" t="s">
        <v>568</v>
      </c>
      <c r="G97" s="131" t="s">
        <v>675</v>
      </c>
      <c r="H97" s="130"/>
      <c r="J97" s="63">
        <v>96</v>
      </c>
      <c r="K97" t="str">
        <f t="shared" si="3"/>
        <v>DEP OPERAÇÃO SUL COELBA</v>
      </c>
    </row>
    <row r="98" spans="4:11" x14ac:dyDescent="0.25">
      <c r="D98" t="str">
        <f t="shared" si="2"/>
        <v>97NEOENERGIA PERNAMBUCO</v>
      </c>
      <c r="E98">
        <v>97</v>
      </c>
      <c r="F98" s="130" t="s">
        <v>568</v>
      </c>
      <c r="G98" s="131" t="s">
        <v>676</v>
      </c>
      <c r="H98" s="130"/>
      <c r="J98" s="63">
        <v>97</v>
      </c>
      <c r="K98" t="str">
        <f t="shared" si="3"/>
        <v>DEP PADRONIZ IMPLEMENT SMART GRIDS DISTR</v>
      </c>
    </row>
    <row r="99" spans="4:11" x14ac:dyDescent="0.25">
      <c r="D99" t="str">
        <f t="shared" si="2"/>
        <v>98NEOENERGIA PERNAMBUCO</v>
      </c>
      <c r="E99">
        <v>98</v>
      </c>
      <c r="F99" s="130" t="s">
        <v>568</v>
      </c>
      <c r="G99" s="131" t="s">
        <v>677</v>
      </c>
      <c r="H99" s="130"/>
      <c r="J99" s="63">
        <v>98</v>
      </c>
      <c r="K99" t="str">
        <f t="shared" si="3"/>
        <v>DEP PLANEJ SISTEMA ELÉTRICO DISTRIBUIÇÃO</v>
      </c>
    </row>
    <row r="100" spans="4:11" x14ac:dyDescent="0.25">
      <c r="D100" t="str">
        <f t="shared" si="2"/>
        <v>99NEOENERGIA PERNAMBUCO</v>
      </c>
      <c r="E100">
        <v>99</v>
      </c>
      <c r="F100" s="130" t="s">
        <v>568</v>
      </c>
      <c r="G100" s="131" t="s">
        <v>678</v>
      </c>
      <c r="H100" s="130"/>
      <c r="J100" s="63">
        <v>99</v>
      </c>
      <c r="K100" t="str">
        <f t="shared" si="3"/>
        <v>DEP PLANEJAMENTO DE MERCADO DISTRIBUIÇÃO</v>
      </c>
    </row>
    <row r="101" spans="4:11" x14ac:dyDescent="0.25">
      <c r="D101" t="str">
        <f t="shared" si="2"/>
        <v>100NEOENERGIA PERNAMBUCO</v>
      </c>
      <c r="E101">
        <v>100</v>
      </c>
      <c r="F101" s="130" t="s">
        <v>568</v>
      </c>
      <c r="G101" s="131" t="s">
        <v>679</v>
      </c>
      <c r="H101" s="130"/>
      <c r="J101" s="63">
        <v>100</v>
      </c>
      <c r="K101" t="str">
        <f t="shared" si="3"/>
        <v>DEP PROCESSO DE REDES COELBA</v>
      </c>
    </row>
    <row r="102" spans="4:11" x14ac:dyDescent="0.25">
      <c r="D102" t="str">
        <f t="shared" si="2"/>
        <v>101NEOENERGIA PERNAMBUCO</v>
      </c>
      <c r="E102">
        <v>101</v>
      </c>
      <c r="F102" s="130" t="s">
        <v>568</v>
      </c>
      <c r="G102" s="131" t="s">
        <v>680</v>
      </c>
      <c r="H102" s="130"/>
      <c r="J102" s="63">
        <v>101</v>
      </c>
      <c r="K102" t="str">
        <f t="shared" si="3"/>
        <v>DEP PROCESSOS E SISTEMAS TÉCNICOS DISTR</v>
      </c>
    </row>
    <row r="103" spans="4:11" x14ac:dyDescent="0.25">
      <c r="D103" t="str">
        <f t="shared" si="2"/>
        <v>102NEOENERGIA PERNAMBUCO</v>
      </c>
      <c r="E103">
        <v>102</v>
      </c>
      <c r="F103" s="130" t="s">
        <v>568</v>
      </c>
      <c r="G103" s="131" t="s">
        <v>681</v>
      </c>
      <c r="H103" s="130"/>
      <c r="J103" s="63">
        <v>102</v>
      </c>
      <c r="K103" t="str">
        <f t="shared" si="3"/>
        <v>DEP PROGRAMAÇÃO DE SERVIÇOS COELBA</v>
      </c>
    </row>
    <row r="104" spans="4:11" x14ac:dyDescent="0.25">
      <c r="D104" t="str">
        <f t="shared" si="2"/>
        <v>103NEOENERGIA PERNAMBUCO</v>
      </c>
      <c r="E104">
        <v>103</v>
      </c>
      <c r="F104" s="130" t="s">
        <v>568</v>
      </c>
      <c r="G104" s="131" t="s">
        <v>682</v>
      </c>
      <c r="H104" s="130"/>
      <c r="J104" s="63">
        <v>103</v>
      </c>
      <c r="K104" t="str">
        <f t="shared" si="3"/>
        <v>DEP PROJ ÁGEIS GESTÃO DE MUDANÇA DISTR</v>
      </c>
    </row>
    <row r="105" spans="4:11" x14ac:dyDescent="0.25">
      <c r="D105" t="str">
        <f t="shared" si="2"/>
        <v>104NEOENERGIA PERNAMBUCO</v>
      </c>
      <c r="E105">
        <v>104</v>
      </c>
      <c r="F105" s="130" t="s">
        <v>568</v>
      </c>
      <c r="G105" s="131" t="s">
        <v>683</v>
      </c>
      <c r="H105" s="130"/>
      <c r="J105" s="63">
        <v>104</v>
      </c>
      <c r="K105" t="str">
        <f t="shared" si="3"/>
        <v>DEP PROJ ESTRATÉGICOS TECNOLOGIA DISTR</v>
      </c>
    </row>
    <row r="106" spans="4:11" x14ac:dyDescent="0.25">
      <c r="D106" t="str">
        <f t="shared" si="2"/>
        <v>105NEOENERGIA PERNAMBUCO</v>
      </c>
      <c r="E106">
        <v>105</v>
      </c>
      <c r="F106" s="130" t="s">
        <v>568</v>
      </c>
      <c r="G106" s="131" t="s">
        <v>684</v>
      </c>
      <c r="H106" s="130"/>
      <c r="J106" s="63">
        <v>105</v>
      </c>
      <c r="K106" t="str">
        <f t="shared" si="3"/>
        <v>DEP PROJETOS ESTRATÉGICOS DISTRIBUIÇÃO</v>
      </c>
    </row>
    <row r="107" spans="4:11" x14ac:dyDescent="0.25">
      <c r="D107" t="str">
        <f t="shared" si="2"/>
        <v>106NEOENERGIA PERNAMBUCO</v>
      </c>
      <c r="E107">
        <v>106</v>
      </c>
      <c r="F107" s="130" t="s">
        <v>568</v>
      </c>
      <c r="G107" s="131" t="s">
        <v>685</v>
      </c>
      <c r="H107" s="130"/>
      <c r="J107" s="63">
        <v>106</v>
      </c>
      <c r="K107" t="str">
        <f t="shared" si="3"/>
        <v>DEP RECUPERAÇÃO DE CRÉDITO DISTRIBUIÇÃO</v>
      </c>
    </row>
    <row r="108" spans="4:11" x14ac:dyDescent="0.25">
      <c r="D108" t="str">
        <f t="shared" si="2"/>
        <v>107NEOENERGIA PERNAMBUCO</v>
      </c>
      <c r="E108">
        <v>107</v>
      </c>
      <c r="F108" s="130" t="s">
        <v>568</v>
      </c>
      <c r="G108" s="131" t="s">
        <v>686</v>
      </c>
      <c r="H108" s="130"/>
      <c r="J108" s="63">
        <v>107</v>
      </c>
      <c r="K108" t="str">
        <f t="shared" si="3"/>
        <v>DEP RECUPERAÇÃO DE ENERGIA DISTRIBUIÇÃO</v>
      </c>
    </row>
    <row r="109" spans="4:11" x14ac:dyDescent="0.25">
      <c r="D109" t="str">
        <f t="shared" si="2"/>
        <v>108NEOENERGIA PERNAMBUCO</v>
      </c>
      <c r="E109">
        <v>108</v>
      </c>
      <c r="F109" s="130" t="s">
        <v>568</v>
      </c>
      <c r="G109" s="131" t="s">
        <v>687</v>
      </c>
      <c r="H109" s="130"/>
      <c r="J109" s="63">
        <v>108</v>
      </c>
      <c r="K109" t="str">
        <f t="shared" si="3"/>
        <v>DEP RECURSOS HUMANOS COELBA</v>
      </c>
    </row>
    <row r="110" spans="4:11" x14ac:dyDescent="0.25">
      <c r="D110" t="str">
        <f t="shared" si="2"/>
        <v>109NEOENERGIA PERNAMBUCO</v>
      </c>
      <c r="E110">
        <v>109</v>
      </c>
      <c r="F110" s="130" t="s">
        <v>568</v>
      </c>
      <c r="G110" s="131" t="s">
        <v>688</v>
      </c>
      <c r="H110" s="130"/>
      <c r="J110" s="63">
        <v>109</v>
      </c>
      <c r="K110" t="str">
        <f t="shared" si="3"/>
        <v>DEP REDES DISTRIBUIÇÃO</v>
      </c>
    </row>
    <row r="111" spans="4:11" x14ac:dyDescent="0.25">
      <c r="D111" t="str">
        <f t="shared" si="2"/>
        <v>110NEOENERGIA PERNAMBUCO</v>
      </c>
      <c r="E111">
        <v>110</v>
      </c>
      <c r="F111" s="130" t="s">
        <v>568</v>
      </c>
      <c r="G111" s="131" t="s">
        <v>689</v>
      </c>
      <c r="H111" s="130"/>
      <c r="J111" s="63">
        <v>110</v>
      </c>
      <c r="K111" t="str">
        <f t="shared" si="3"/>
        <v>DEP REGULAÇÃO ECONÔMICA E FINANC COELBA</v>
      </c>
    </row>
    <row r="112" spans="4:11" x14ac:dyDescent="0.25">
      <c r="D112" t="str">
        <f t="shared" si="2"/>
        <v>111NEOENERGIA PERNAMBUCO</v>
      </c>
      <c r="E112">
        <v>111</v>
      </c>
      <c r="F112" s="130" t="s">
        <v>568</v>
      </c>
      <c r="G112" s="131" t="s">
        <v>690</v>
      </c>
      <c r="H112" s="130"/>
      <c r="J112" s="63">
        <v>111</v>
      </c>
      <c r="K112" t="str">
        <f t="shared" si="3"/>
        <v>DEP REGULAÇÃO TÉCNICA COMERCIAL COELBA</v>
      </c>
    </row>
    <row r="113" spans="4:11" x14ac:dyDescent="0.25">
      <c r="D113" t="str">
        <f t="shared" si="2"/>
        <v>112NEOENERGIA PERNAMBUCO</v>
      </c>
      <c r="E113">
        <v>112</v>
      </c>
      <c r="F113" s="130" t="s">
        <v>568</v>
      </c>
      <c r="G113" s="131" t="s">
        <v>691</v>
      </c>
      <c r="H113" s="130"/>
      <c r="J113" s="63">
        <v>112</v>
      </c>
      <c r="K113" t="str">
        <f t="shared" si="3"/>
        <v>DEP REGULAÇÃO TRANSMISSÃO</v>
      </c>
    </row>
    <row r="114" spans="4:11" x14ac:dyDescent="0.25">
      <c r="D114" t="str">
        <f t="shared" si="2"/>
        <v>113NEOENERGIA PERNAMBUCO</v>
      </c>
      <c r="E114">
        <v>113</v>
      </c>
      <c r="F114" s="130" t="s">
        <v>568</v>
      </c>
      <c r="G114" s="131" t="s">
        <v>692</v>
      </c>
      <c r="H114" s="130"/>
      <c r="J114" s="63">
        <v>113</v>
      </c>
      <c r="K114" t="str">
        <f t="shared" si="3"/>
        <v>DEP RELAÇÕES COM MÍDIA CLIENTE</v>
      </c>
    </row>
    <row r="115" spans="4:11" x14ac:dyDescent="0.25">
      <c r="D115" t="str">
        <f t="shared" si="2"/>
        <v>114NEOENERGIA PERNAMBUCO</v>
      </c>
      <c r="E115">
        <v>114</v>
      </c>
      <c r="F115" s="130" t="s">
        <v>568</v>
      </c>
      <c r="G115" s="131" t="s">
        <v>693</v>
      </c>
      <c r="H115" s="130"/>
      <c r="J115" s="63">
        <v>114</v>
      </c>
      <c r="K115" t="str">
        <f t="shared" si="3"/>
        <v>DEP RELAÇÕES COM MÍDIA CORPORATIVO</v>
      </c>
    </row>
    <row r="116" spans="4:11" x14ac:dyDescent="0.25">
      <c r="D116" t="str">
        <f t="shared" si="2"/>
        <v>115NEOENERGIA PERNAMBUCO</v>
      </c>
      <c r="E116">
        <v>115</v>
      </c>
      <c r="F116" s="130" t="s">
        <v>568</v>
      </c>
      <c r="G116" s="131" t="s">
        <v>694</v>
      </c>
      <c r="H116" s="130"/>
      <c r="J116" s="63">
        <v>115</v>
      </c>
      <c r="K116" t="str">
        <f t="shared" si="3"/>
        <v>DEP RELACOES INSTITUCIONAIS</v>
      </c>
    </row>
    <row r="117" spans="4:11" x14ac:dyDescent="0.25">
      <c r="D117" t="str">
        <f t="shared" si="2"/>
        <v>116NEOENERGIA PERNAMBUCO</v>
      </c>
      <c r="E117">
        <v>116</v>
      </c>
      <c r="F117" s="130" t="s">
        <v>568</v>
      </c>
      <c r="G117" s="131" t="s">
        <v>695</v>
      </c>
      <c r="H117" s="130"/>
      <c r="J117" s="63">
        <v>116</v>
      </c>
      <c r="K117" t="str">
        <f t="shared" si="3"/>
        <v>DEP SATISFAÇÃO CLIENTE DISTRIBUIÇÃO</v>
      </c>
    </row>
    <row r="118" spans="4:11" x14ac:dyDescent="0.25">
      <c r="D118" t="str">
        <f t="shared" si="2"/>
        <v>117NEOENERGIA PERNAMBUCO</v>
      </c>
      <c r="E118">
        <v>117</v>
      </c>
      <c r="F118" s="130" t="s">
        <v>568</v>
      </c>
      <c r="G118" s="131" t="s">
        <v>696</v>
      </c>
      <c r="H118" s="130"/>
      <c r="J118" s="63">
        <v>117</v>
      </c>
      <c r="K118" t="str">
        <f t="shared" si="3"/>
        <v>DEP SAÚDE E SEGURANÇA COELBA</v>
      </c>
    </row>
    <row r="119" spans="4:11" x14ac:dyDescent="0.25">
      <c r="D119" t="str">
        <f t="shared" si="2"/>
        <v>118NEOENERGIA PERNAMBUCO</v>
      </c>
      <c r="E119">
        <v>118</v>
      </c>
      <c r="F119" s="130" t="s">
        <v>568</v>
      </c>
      <c r="G119" s="131" t="s">
        <v>697</v>
      </c>
      <c r="H119" s="130"/>
      <c r="J119" s="63">
        <v>118</v>
      </c>
      <c r="K119" t="str">
        <f t="shared" si="3"/>
        <v>DEP SAÚDE E SEGURANÇA TRANSMISSÃO</v>
      </c>
    </row>
    <row r="120" spans="4:11" x14ac:dyDescent="0.25">
      <c r="D120" t="str">
        <f t="shared" si="2"/>
        <v>119NEOENERGIA PERNAMBUCO</v>
      </c>
      <c r="E120">
        <v>119</v>
      </c>
      <c r="F120" s="130" t="s">
        <v>568</v>
      </c>
      <c r="G120" s="131" t="s">
        <v>698</v>
      </c>
      <c r="H120" s="130"/>
      <c r="J120" s="63">
        <v>119</v>
      </c>
      <c r="K120" t="str">
        <f t="shared" si="3"/>
        <v>DEP SEGURANÇA FÍSICA COELBA</v>
      </c>
    </row>
    <row r="121" spans="4:11" x14ac:dyDescent="0.25">
      <c r="D121" t="str">
        <f t="shared" si="2"/>
        <v>120NEOENERGIA PERNAMBUCO</v>
      </c>
      <c r="E121">
        <v>120</v>
      </c>
      <c r="F121" s="130" t="s">
        <v>568</v>
      </c>
      <c r="G121" s="131" t="s">
        <v>699</v>
      </c>
      <c r="H121" s="130"/>
      <c r="J121" s="63">
        <v>120</v>
      </c>
      <c r="K121" t="str">
        <f t="shared" si="3"/>
        <v>DEP SERVIÇOS TÉCNICOS DISTRIBUIÇÃO</v>
      </c>
    </row>
    <row r="122" spans="4:11" x14ac:dyDescent="0.25">
      <c r="D122" t="str">
        <f t="shared" si="2"/>
        <v>121NEOENERGIA PERNAMBUCO</v>
      </c>
      <c r="E122">
        <v>121</v>
      </c>
      <c r="F122" s="130" t="s">
        <v>568</v>
      </c>
      <c r="G122" s="131" t="s">
        <v>700</v>
      </c>
      <c r="H122" s="130"/>
      <c r="J122" s="63">
        <v>121</v>
      </c>
      <c r="K122" t="str">
        <f t="shared" si="3"/>
        <v>DEP SMART METERING DISTRIBUIÇÃO</v>
      </c>
    </row>
    <row r="123" spans="4:11" x14ac:dyDescent="0.25">
      <c r="D123" t="str">
        <f t="shared" si="2"/>
        <v>122NEOENERGIA PERNAMBUCO</v>
      </c>
      <c r="E123">
        <v>122</v>
      </c>
      <c r="F123" s="130" t="s">
        <v>568</v>
      </c>
      <c r="G123" s="131" t="s">
        <v>701</v>
      </c>
      <c r="H123" s="130"/>
      <c r="J123" s="63">
        <v>122</v>
      </c>
      <c r="K123" t="str">
        <f t="shared" si="3"/>
        <v>DEP SUBESTAÇÕES DISTRIBUIÇÃO</v>
      </c>
    </row>
    <row r="124" spans="4:11" x14ac:dyDescent="0.25">
      <c r="D124" t="str">
        <f t="shared" si="2"/>
        <v>123NEOENERGIA PERNAMBUCO</v>
      </c>
      <c r="E124">
        <v>123</v>
      </c>
      <c r="F124" s="130" t="s">
        <v>568</v>
      </c>
      <c r="G124" s="131" t="s">
        <v>702</v>
      </c>
      <c r="H124" s="130"/>
      <c r="J124" s="63">
        <v>123</v>
      </c>
      <c r="K124" t="str">
        <f t="shared" si="3"/>
        <v>DEP SUSTENTABILIDADE DISTRIBUIÇÃO</v>
      </c>
    </row>
    <row r="125" spans="4:11" x14ac:dyDescent="0.25">
      <c r="D125" t="str">
        <f t="shared" si="2"/>
        <v>124NEOENERGIA PERNAMBUCO</v>
      </c>
      <c r="E125">
        <v>124</v>
      </c>
      <c r="F125" s="130" t="s">
        <v>568</v>
      </c>
      <c r="G125" s="131" t="s">
        <v>703</v>
      </c>
      <c r="H125" s="130"/>
      <c r="J125" s="63">
        <v>124</v>
      </c>
      <c r="K125" t="str">
        <f t="shared" si="3"/>
        <v>DEP TECNOL CIÊNCIA DE DADOS DISTRIBUIÇÃO</v>
      </c>
    </row>
    <row r="126" spans="4:11" x14ac:dyDescent="0.25">
      <c r="D126" t="str">
        <f t="shared" si="2"/>
        <v>125NEOENERGIA PERNAMBUCO</v>
      </c>
      <c r="E126">
        <v>125</v>
      </c>
      <c r="F126" s="130" t="s">
        <v>568</v>
      </c>
      <c r="G126" s="131" t="s">
        <v>704</v>
      </c>
      <c r="H126" s="130"/>
      <c r="J126" s="63">
        <v>125</v>
      </c>
      <c r="K126" t="str">
        <f t="shared" si="3"/>
        <v>DEP TECNOLOGIA OPERATIVA DISTRIBUIÇÃO</v>
      </c>
    </row>
    <row r="127" spans="4:11" x14ac:dyDescent="0.25">
      <c r="D127" t="str">
        <f t="shared" si="2"/>
        <v>126NEOENERGIA PERNAMBUCO</v>
      </c>
      <c r="E127">
        <v>126</v>
      </c>
      <c r="F127" s="130" t="s">
        <v>568</v>
      </c>
      <c r="G127" s="131" t="s">
        <v>705</v>
      </c>
      <c r="H127" s="130"/>
      <c r="J127" s="63">
        <v>126</v>
      </c>
      <c r="K127" t="str">
        <f t="shared" si="3"/>
        <v>DEP UNITIZAÇÃO E GESTÃO EPS COELBA</v>
      </c>
    </row>
    <row r="128" spans="4:11" x14ac:dyDescent="0.25">
      <c r="D128" t="str">
        <f t="shared" si="2"/>
        <v>127NEOENERGIA PERNAMBUCO</v>
      </c>
      <c r="E128">
        <v>127</v>
      </c>
      <c r="F128" s="130" t="s">
        <v>568</v>
      </c>
      <c r="G128" s="131" t="s">
        <v>706</v>
      </c>
      <c r="H128" s="130"/>
      <c r="J128" s="63">
        <v>127</v>
      </c>
      <c r="K128" t="str">
        <f t="shared" si="3"/>
        <v>DIRET ADJ DE COMPRAS SERVIÇOS GERAIS</v>
      </c>
    </row>
    <row r="129" spans="4:11" x14ac:dyDescent="0.25">
      <c r="D129" t="str">
        <f t="shared" si="2"/>
        <v>128NEOENERGIA PERNAMBUCO</v>
      </c>
      <c r="E129">
        <v>128</v>
      </c>
      <c r="F129" s="130" t="s">
        <v>568</v>
      </c>
      <c r="G129" s="131" t="s">
        <v>707</v>
      </c>
      <c r="H129" s="130"/>
      <c r="J129" s="63">
        <v>128</v>
      </c>
      <c r="K129" t="str">
        <f t="shared" si="3"/>
        <v>DIRET ADJ DE REGULAÇÃO</v>
      </c>
    </row>
    <row r="130" spans="4:11" x14ac:dyDescent="0.25">
      <c r="D130" t="str">
        <f t="shared" si="2"/>
        <v>129NEOENERGIA PERNAMBUCO</v>
      </c>
      <c r="E130">
        <v>129</v>
      </c>
      <c r="F130" s="130" t="s">
        <v>568</v>
      </c>
      <c r="G130" s="131" t="s">
        <v>708</v>
      </c>
      <c r="H130" s="130"/>
      <c r="J130" s="63">
        <v>129</v>
      </c>
      <c r="K130" t="str">
        <f t="shared" si="3"/>
        <v>DIRET ADJ DE RELAÇÕES COM INVESTIDORES</v>
      </c>
    </row>
    <row r="131" spans="4:11" x14ac:dyDescent="0.25">
      <c r="D131" t="str">
        <f t="shared" ref="D131:D194" si="4">E131&amp;F131</f>
        <v>130NEOENERGIA PERNAMBUCO</v>
      </c>
      <c r="E131">
        <v>130</v>
      </c>
      <c r="F131" s="130" t="s">
        <v>568</v>
      </c>
      <c r="G131" s="131" t="s">
        <v>709</v>
      </c>
      <c r="H131" s="130"/>
      <c r="J131" s="63">
        <v>130</v>
      </c>
      <c r="K131" t="str">
        <f t="shared" ref="K131:K164" si="5">IFERROR(VLOOKUP(J131&amp;$J$1,D:G,4,0),"")</f>
        <v>DIRET ADJ DE SEGURANÇA CORPORATIVA</v>
      </c>
    </row>
    <row r="132" spans="4:11" x14ac:dyDescent="0.25">
      <c r="D132" t="str">
        <f t="shared" si="4"/>
        <v>131NEOENERGIA PERNAMBUCO</v>
      </c>
      <c r="E132">
        <v>131</v>
      </c>
      <c r="F132" s="130" t="s">
        <v>568</v>
      </c>
      <c r="G132" s="131" t="s">
        <v>710</v>
      </c>
      <c r="H132" s="130"/>
      <c r="J132" s="63">
        <v>131</v>
      </c>
      <c r="K132" t="str">
        <f t="shared" si="5"/>
        <v>DIRETORIA DE FINANÇAS E REL INVESTIDORES</v>
      </c>
    </row>
    <row r="133" spans="4:11" x14ac:dyDescent="0.25">
      <c r="D133" t="str">
        <f t="shared" si="4"/>
        <v>132NEOENERGIA PERNAMBUCO</v>
      </c>
      <c r="E133">
        <v>132</v>
      </c>
      <c r="F133" s="130" t="s">
        <v>568</v>
      </c>
      <c r="G133" s="131" t="s">
        <v>711</v>
      </c>
      <c r="H133" s="130"/>
      <c r="J133" s="63">
        <v>132</v>
      </c>
      <c r="K133" t="str">
        <f t="shared" si="5"/>
        <v>DIRETORIA GERAL ADJUNTA</v>
      </c>
    </row>
    <row r="134" spans="4:11" x14ac:dyDescent="0.25">
      <c r="D134" t="str">
        <f t="shared" si="4"/>
        <v>133NEOENERGIA PERNAMBUCO</v>
      </c>
      <c r="E134">
        <v>133</v>
      </c>
      <c r="F134" s="130" t="s">
        <v>568</v>
      </c>
      <c r="G134" s="131" t="s">
        <v>712</v>
      </c>
      <c r="H134" s="130"/>
      <c r="J134" s="63">
        <v>133</v>
      </c>
      <c r="K134" t="str">
        <f t="shared" si="5"/>
        <v>DIRETORIA JURÍDICA</v>
      </c>
    </row>
    <row r="135" spans="4:11" x14ac:dyDescent="0.25">
      <c r="D135" t="str">
        <f t="shared" si="4"/>
        <v>134NEOENERGIA PERNAMBUCO</v>
      </c>
      <c r="E135">
        <v>134</v>
      </c>
      <c r="F135" s="130" t="s">
        <v>568</v>
      </c>
      <c r="G135" s="131" t="s">
        <v>713</v>
      </c>
      <c r="H135" s="130"/>
      <c r="J135" s="63">
        <v>134</v>
      </c>
      <c r="K135" t="str">
        <f t="shared" si="5"/>
        <v>NÉOS</v>
      </c>
    </row>
    <row r="136" spans="4:11" x14ac:dyDescent="0.25">
      <c r="D136" t="str">
        <f t="shared" si="4"/>
        <v>135NEOENERGIA PERNAMBUCO</v>
      </c>
      <c r="E136">
        <v>135</v>
      </c>
      <c r="F136" s="130" t="s">
        <v>568</v>
      </c>
      <c r="G136" s="131" t="s">
        <v>714</v>
      </c>
      <c r="H136" s="130"/>
      <c r="J136" s="63">
        <v>135</v>
      </c>
      <c r="K136" t="str">
        <f t="shared" si="5"/>
        <v>PRESIDÊNCIA COELBA</v>
      </c>
    </row>
    <row r="137" spans="4:11" x14ac:dyDescent="0.25">
      <c r="D137" t="str">
        <f t="shared" si="4"/>
        <v>136NEOENERGIA PERNAMBUCO</v>
      </c>
      <c r="E137">
        <v>136</v>
      </c>
      <c r="F137" s="130" t="s">
        <v>568</v>
      </c>
      <c r="G137" s="131" t="s">
        <v>715</v>
      </c>
      <c r="H137" s="130"/>
      <c r="J137" s="63">
        <v>136</v>
      </c>
      <c r="K137" t="str">
        <f t="shared" si="5"/>
        <v>PRESIDÊNCIA NEOENERGIA</v>
      </c>
    </row>
    <row r="138" spans="4:11" x14ac:dyDescent="0.25">
      <c r="D138" t="str">
        <f t="shared" si="4"/>
        <v>1NEOENERGIA COELBA</v>
      </c>
      <c r="E138">
        <v>1</v>
      </c>
      <c r="F138" s="130" t="s">
        <v>5</v>
      </c>
      <c r="G138" s="131" t="s">
        <v>569</v>
      </c>
      <c r="H138" s="130"/>
      <c r="J138" s="63">
        <v>137</v>
      </c>
      <c r="K138" t="str">
        <f t="shared" si="5"/>
        <v>SUP CORP COMUNICAÇÃO EXTERNA</v>
      </c>
    </row>
    <row r="139" spans="4:11" x14ac:dyDescent="0.25">
      <c r="D139" t="str">
        <f t="shared" si="4"/>
        <v>2NEOENERGIA COELBA</v>
      </c>
      <c r="E139">
        <v>2</v>
      </c>
      <c r="F139" s="130" t="s">
        <v>5</v>
      </c>
      <c r="G139" s="131" t="s">
        <v>716</v>
      </c>
      <c r="H139" s="130"/>
      <c r="J139" s="63">
        <v>138</v>
      </c>
      <c r="K139" t="str">
        <f t="shared" si="5"/>
        <v>SUP CORP CONTROLE ATIVOS CONFORM REGUL</v>
      </c>
    </row>
    <row r="140" spans="4:11" x14ac:dyDescent="0.25">
      <c r="D140" t="str">
        <f t="shared" si="4"/>
        <v>3NEOENERGIA COELBA</v>
      </c>
      <c r="E140">
        <v>3</v>
      </c>
      <c r="F140" s="130" t="s">
        <v>5</v>
      </c>
      <c r="G140" s="131" t="s">
        <v>570</v>
      </c>
      <c r="H140" s="130"/>
      <c r="J140" s="63">
        <v>139</v>
      </c>
      <c r="K140" t="str">
        <f t="shared" si="5"/>
        <v>SUP CORP DE ADMINISTRAÇÃO</v>
      </c>
    </row>
    <row r="141" spans="4:11" x14ac:dyDescent="0.25">
      <c r="D141" t="str">
        <f t="shared" si="4"/>
        <v>4NEOENERGIA COELBA</v>
      </c>
      <c r="E141">
        <v>4</v>
      </c>
      <c r="F141" s="130" t="s">
        <v>5</v>
      </c>
      <c r="G141" s="131" t="s">
        <v>717</v>
      </c>
      <c r="H141" s="130"/>
      <c r="J141" s="63">
        <v>140</v>
      </c>
      <c r="K141" t="str">
        <f t="shared" si="5"/>
        <v>SUP CORP DE AUDITORIA INTERNA</v>
      </c>
    </row>
    <row r="142" spans="4:11" x14ac:dyDescent="0.25">
      <c r="D142" t="str">
        <f t="shared" si="4"/>
        <v>5NEOENERGIA COELBA</v>
      </c>
      <c r="E142">
        <v>5</v>
      </c>
      <c r="F142" s="130" t="s">
        <v>5</v>
      </c>
      <c r="G142" s="131" t="s">
        <v>576</v>
      </c>
      <c r="H142" s="130"/>
      <c r="J142" s="63">
        <v>141</v>
      </c>
      <c r="K142" t="str">
        <f t="shared" si="5"/>
        <v>SUP CORP DE COMPRAS CORPORATIVAS</v>
      </c>
    </row>
    <row r="143" spans="4:11" x14ac:dyDescent="0.25">
      <c r="D143" t="str">
        <f t="shared" si="4"/>
        <v>6NEOENERGIA COELBA</v>
      </c>
      <c r="E143">
        <v>6</v>
      </c>
      <c r="F143" s="130" t="s">
        <v>5</v>
      </c>
      <c r="G143" s="131" t="s">
        <v>578</v>
      </c>
      <c r="H143" s="130"/>
      <c r="J143" s="63">
        <v>142</v>
      </c>
      <c r="K143" t="str">
        <f t="shared" si="5"/>
        <v>SUP CORP DE CONSOLIDAÇÃO</v>
      </c>
    </row>
    <row r="144" spans="4:11" x14ac:dyDescent="0.25">
      <c r="D144" t="str">
        <f t="shared" si="4"/>
        <v>7NEOENERGIA COELBA</v>
      </c>
      <c r="E144">
        <v>7</v>
      </c>
      <c r="F144" s="130" t="s">
        <v>5</v>
      </c>
      <c r="G144" s="131" t="s">
        <v>580</v>
      </c>
      <c r="H144" s="130"/>
      <c r="J144" s="63">
        <v>143</v>
      </c>
      <c r="K144" t="str">
        <f t="shared" si="5"/>
        <v>SUP CORP DE CONTROLES INTERNOS</v>
      </c>
    </row>
    <row r="145" spans="4:11" x14ac:dyDescent="0.25">
      <c r="D145" t="str">
        <f t="shared" si="4"/>
        <v>8NEOENERGIA COELBA</v>
      </c>
      <c r="E145">
        <v>8</v>
      </c>
      <c r="F145" s="130" t="s">
        <v>5</v>
      </c>
      <c r="G145" s="131" t="s">
        <v>582</v>
      </c>
      <c r="H145" s="130"/>
      <c r="J145" s="63">
        <v>144</v>
      </c>
      <c r="K145" t="str">
        <f t="shared" si="5"/>
        <v>SUP CORP DE FINANÇAS E TESOURARIA</v>
      </c>
    </row>
    <row r="146" spans="4:11" x14ac:dyDescent="0.25">
      <c r="D146" t="str">
        <f t="shared" si="4"/>
        <v>9NEOENERGIA COELBA</v>
      </c>
      <c r="E146">
        <v>9</v>
      </c>
      <c r="F146" s="130" t="s">
        <v>5</v>
      </c>
      <c r="G146" s="131" t="s">
        <v>584</v>
      </c>
      <c r="H146" s="130"/>
      <c r="J146" s="63">
        <v>145</v>
      </c>
      <c r="K146" t="str">
        <f t="shared" si="5"/>
        <v>SUP CORP DE GESTÃO DE RH PARA NEGÓCIOS</v>
      </c>
    </row>
    <row r="147" spans="4:11" x14ac:dyDescent="0.25">
      <c r="D147" t="str">
        <f t="shared" si="4"/>
        <v>10NEOENERGIA COELBA</v>
      </c>
      <c r="E147">
        <v>10</v>
      </c>
      <c r="F147" s="130" t="s">
        <v>5</v>
      </c>
      <c r="G147" s="131" t="s">
        <v>586</v>
      </c>
      <c r="H147" s="130"/>
      <c r="J147" s="63">
        <v>146</v>
      </c>
      <c r="K147" t="str">
        <f t="shared" si="5"/>
        <v>SUP CORP DE GOVERNANÇA</v>
      </c>
    </row>
    <row r="148" spans="4:11" x14ac:dyDescent="0.25">
      <c r="D148" t="str">
        <f t="shared" si="4"/>
        <v>11NEOENERGIA COELBA</v>
      </c>
      <c r="E148">
        <v>11</v>
      </c>
      <c r="F148" s="130" t="s">
        <v>5</v>
      </c>
      <c r="G148" s="131" t="s">
        <v>718</v>
      </c>
      <c r="H148" s="130"/>
      <c r="J148" s="63">
        <v>147</v>
      </c>
      <c r="K148" t="str">
        <f t="shared" si="5"/>
        <v>SUP CORP DE RISCOS</v>
      </c>
    </row>
    <row r="149" spans="4:11" x14ac:dyDescent="0.25">
      <c r="D149" t="str">
        <f t="shared" si="4"/>
        <v>12NEOENERGIA COELBA</v>
      </c>
      <c r="E149">
        <v>12</v>
      </c>
      <c r="F149" s="130" t="s">
        <v>5</v>
      </c>
      <c r="G149" s="131" t="s">
        <v>590</v>
      </c>
      <c r="H149" s="130"/>
      <c r="J149" s="63">
        <v>148</v>
      </c>
      <c r="K149" t="str">
        <f t="shared" si="5"/>
        <v>SUP CORP DE SERVIÇOS GERAIS</v>
      </c>
    </row>
    <row r="150" spans="4:11" x14ac:dyDescent="0.25">
      <c r="D150" t="str">
        <f t="shared" si="4"/>
        <v>13NEOENERGIA COELBA</v>
      </c>
      <c r="E150">
        <v>13</v>
      </c>
      <c r="F150" s="130" t="s">
        <v>5</v>
      </c>
      <c r="G150" s="131" t="s">
        <v>591</v>
      </c>
      <c r="H150" s="130"/>
      <c r="J150" s="63">
        <v>149</v>
      </c>
      <c r="K150" t="str">
        <f t="shared" si="5"/>
        <v>SUP CORP DE SISTEMAS</v>
      </c>
    </row>
    <row r="151" spans="4:11" x14ac:dyDescent="0.25">
      <c r="D151" t="str">
        <f t="shared" si="4"/>
        <v>14NEOENERGIA COELBA</v>
      </c>
      <c r="E151">
        <v>14</v>
      </c>
      <c r="F151" s="130" t="s">
        <v>5</v>
      </c>
      <c r="G151" s="131" t="s">
        <v>592</v>
      </c>
      <c r="H151" s="130"/>
      <c r="J151" s="63">
        <v>150</v>
      </c>
      <c r="K151" t="str">
        <f t="shared" si="5"/>
        <v>SUP CORP DESENV ORGANIZ COMUNIC INTERNA</v>
      </c>
    </row>
    <row r="152" spans="4:11" x14ac:dyDescent="0.25">
      <c r="D152" t="str">
        <f t="shared" si="4"/>
        <v>15NEOENERGIA COELBA</v>
      </c>
      <c r="E152">
        <v>15</v>
      </c>
      <c r="F152" s="130" t="s">
        <v>5</v>
      </c>
      <c r="G152" s="131" t="s">
        <v>594</v>
      </c>
      <c r="H152" s="130"/>
      <c r="J152" s="63">
        <v>151</v>
      </c>
      <c r="K152" t="str">
        <f t="shared" si="5"/>
        <v>SUP CORP RECURSOS HUMANOS LIB REN CORP</v>
      </c>
    </row>
    <row r="153" spans="4:11" x14ac:dyDescent="0.25">
      <c r="D153" t="str">
        <f t="shared" si="4"/>
        <v>16NEOENERGIA COELBA</v>
      </c>
      <c r="E153">
        <v>16</v>
      </c>
      <c r="F153" s="130" t="s">
        <v>5</v>
      </c>
      <c r="G153" s="131" t="s">
        <v>595</v>
      </c>
      <c r="H153" s="130"/>
      <c r="J153" s="63">
        <v>152</v>
      </c>
      <c r="K153" t="str">
        <f t="shared" si="5"/>
        <v>SUP EXPANSÃO ALTA TENSÃO DISTRIBUIÇÃO</v>
      </c>
    </row>
    <row r="154" spans="4:11" x14ac:dyDescent="0.25">
      <c r="D154" t="str">
        <f t="shared" si="4"/>
        <v>17NEOENERGIA COELBA</v>
      </c>
      <c r="E154">
        <v>17</v>
      </c>
      <c r="F154" s="130" t="s">
        <v>5</v>
      </c>
      <c r="G154" s="131" t="s">
        <v>596</v>
      </c>
      <c r="H154" s="130"/>
      <c r="J154" s="63">
        <v>153</v>
      </c>
      <c r="K154" t="str">
        <f t="shared" si="5"/>
        <v>SUP JURÍDICA DISTRIBUIÇÃO</v>
      </c>
    </row>
    <row r="155" spans="4:11" x14ac:dyDescent="0.25">
      <c r="D155" t="str">
        <f t="shared" si="4"/>
        <v>18NEOENERGIA COELBA</v>
      </c>
      <c r="E155">
        <v>18</v>
      </c>
      <c r="F155" s="130" t="s">
        <v>5</v>
      </c>
      <c r="G155" s="131" t="s">
        <v>719</v>
      </c>
      <c r="H155" s="130"/>
      <c r="J155" s="63">
        <v>154</v>
      </c>
      <c r="K155" t="str">
        <f t="shared" si="5"/>
        <v>SUP JURÍDICO LIBERALIZADOS</v>
      </c>
    </row>
    <row r="156" spans="4:11" x14ac:dyDescent="0.25">
      <c r="D156" t="str">
        <f t="shared" si="4"/>
        <v>19NEOENERGIA COELBA</v>
      </c>
      <c r="E156">
        <v>19</v>
      </c>
      <c r="F156" s="130" t="s">
        <v>5</v>
      </c>
      <c r="G156" s="131" t="s">
        <v>597</v>
      </c>
      <c r="H156" s="130"/>
      <c r="J156" s="63">
        <v>155</v>
      </c>
      <c r="K156" t="str">
        <f t="shared" si="5"/>
        <v>SUP OPERAÇÃO CENTRO NORTE COELBA</v>
      </c>
    </row>
    <row r="157" spans="4:11" x14ac:dyDescent="0.25">
      <c r="D157" t="str">
        <f t="shared" si="4"/>
        <v>20NEOENERGIA COELBA</v>
      </c>
      <c r="E157">
        <v>20</v>
      </c>
      <c r="F157" s="130" t="s">
        <v>5</v>
      </c>
      <c r="G157" s="131" t="s">
        <v>598</v>
      </c>
      <c r="H157" s="130"/>
      <c r="J157" s="63">
        <v>156</v>
      </c>
      <c r="K157" t="str">
        <f t="shared" si="5"/>
        <v>SUP OPERAÇÃO METROPOLITANO SUL COELBA</v>
      </c>
    </row>
    <row r="158" spans="4:11" x14ac:dyDescent="0.25">
      <c r="D158" t="str">
        <f t="shared" si="4"/>
        <v>21NEOENERGIA COELBA</v>
      </c>
      <c r="E158">
        <v>21</v>
      </c>
      <c r="F158" s="130" t="s">
        <v>5</v>
      </c>
      <c r="G158" s="131" t="s">
        <v>599</v>
      </c>
      <c r="H158" s="130"/>
      <c r="J158" s="63">
        <v>157</v>
      </c>
      <c r="K158" t="str">
        <f t="shared" si="5"/>
        <v>SUP OPERAÇÃO SUDOESTE OESTE COELBA</v>
      </c>
    </row>
    <row r="159" spans="4:11" x14ac:dyDescent="0.25">
      <c r="D159" t="str">
        <f t="shared" si="4"/>
        <v>22NEOENERGIA COELBA</v>
      </c>
      <c r="E159">
        <v>22</v>
      </c>
      <c r="F159" s="130" t="s">
        <v>5</v>
      </c>
      <c r="G159" s="131" t="s">
        <v>600</v>
      </c>
      <c r="H159" s="130"/>
      <c r="J159" s="63">
        <v>158</v>
      </c>
      <c r="K159" t="str">
        <f t="shared" si="5"/>
        <v>SUP PLANEJ SISTEMA ELÉTRICO DISTRIBUIÇÃO</v>
      </c>
    </row>
    <row r="160" spans="4:11" x14ac:dyDescent="0.25">
      <c r="D160" t="str">
        <f t="shared" si="4"/>
        <v>23NEOENERGIA COELBA</v>
      </c>
      <c r="E160">
        <v>23</v>
      </c>
      <c r="F160" s="130" t="s">
        <v>5</v>
      </c>
      <c r="G160" s="131" t="s">
        <v>601</v>
      </c>
      <c r="H160" s="130"/>
      <c r="J160" s="63">
        <v>159</v>
      </c>
      <c r="K160" t="str">
        <f t="shared" si="5"/>
        <v>SUP PLANEJAMENTO DO NEGÓCIO DISTRIBUIÇÃO</v>
      </c>
    </row>
    <row r="161" spans="4:11" x14ac:dyDescent="0.25">
      <c r="D161" t="str">
        <f t="shared" si="4"/>
        <v>24NEOENERGIA COELBA</v>
      </c>
      <c r="E161">
        <v>24</v>
      </c>
      <c r="F161" s="130" t="s">
        <v>5</v>
      </c>
      <c r="G161" s="131" t="s">
        <v>602</v>
      </c>
      <c r="H161" s="130"/>
      <c r="J161" s="63">
        <v>160</v>
      </c>
      <c r="K161" t="str">
        <f t="shared" si="5"/>
        <v>SUP REDES E SUBESTAÇÕES DISTRIBUIÇÃO</v>
      </c>
    </row>
    <row r="162" spans="4:11" x14ac:dyDescent="0.25">
      <c r="D162" t="str">
        <f t="shared" si="4"/>
        <v>25NEOENERGIA COELBA</v>
      </c>
      <c r="E162">
        <v>25</v>
      </c>
      <c r="F162" s="130" t="s">
        <v>5</v>
      </c>
      <c r="G162" s="131" t="s">
        <v>603</v>
      </c>
      <c r="H162" s="130"/>
      <c r="J162" s="63">
        <v>161</v>
      </c>
      <c r="K162" t="str">
        <f t="shared" si="5"/>
        <v>SUP REGULAÇÃO ECONÔM FINANC DISTRIBUIÇÃO</v>
      </c>
    </row>
    <row r="163" spans="4:11" x14ac:dyDescent="0.25">
      <c r="D163" t="str">
        <f t="shared" si="4"/>
        <v>26NEOENERGIA COELBA</v>
      </c>
      <c r="E163">
        <v>26</v>
      </c>
      <c r="F163" s="130" t="s">
        <v>5</v>
      </c>
      <c r="G163" s="131" t="s">
        <v>720</v>
      </c>
      <c r="H163" s="130"/>
      <c r="J163" s="63">
        <v>162</v>
      </c>
      <c r="K163" t="str">
        <f t="shared" si="5"/>
        <v>SUP RELACIONAMENTO COM CLIENTES COELBA</v>
      </c>
    </row>
    <row r="164" spans="4:11" x14ac:dyDescent="0.25">
      <c r="D164" t="str">
        <f t="shared" si="4"/>
        <v>27NEOENERGIA COELBA</v>
      </c>
      <c r="E164">
        <v>27</v>
      </c>
      <c r="F164" s="130" t="s">
        <v>5</v>
      </c>
      <c r="G164" s="131" t="s">
        <v>604</v>
      </c>
      <c r="H164" s="130"/>
      <c r="J164" s="63">
        <v>163</v>
      </c>
      <c r="K164" t="str">
        <f t="shared" si="5"/>
        <v>SUP TÉCNICA COELBA</v>
      </c>
    </row>
    <row r="165" spans="4:8" x14ac:dyDescent="0.25">
      <c r="D165" t="str">
        <f t="shared" si="4"/>
        <v>28NEOENERGIA COELBA</v>
      </c>
      <c r="E165">
        <v>28</v>
      </c>
      <c r="F165" s="130" t="s">
        <v>5</v>
      </c>
      <c r="G165" s="131" t="s">
        <v>605</v>
      </c>
      <c r="H165" s="130"/>
    </row>
    <row r="166" spans="4:8" x14ac:dyDescent="0.25">
      <c r="D166" t="str">
        <f t="shared" si="4"/>
        <v>29NEOENERGIA COELBA</v>
      </c>
      <c r="E166">
        <v>29</v>
      </c>
      <c r="F166" s="130" t="s">
        <v>5</v>
      </c>
      <c r="G166" s="131" t="s">
        <v>606</v>
      </c>
      <c r="H166" s="130"/>
    </row>
    <row r="167" spans="4:8" x14ac:dyDescent="0.25">
      <c r="D167" t="str">
        <f t="shared" si="4"/>
        <v>30NEOENERGIA COELBA</v>
      </c>
      <c r="E167">
        <v>30</v>
      </c>
      <c r="F167" s="130" t="s">
        <v>5</v>
      </c>
      <c r="G167" s="131" t="s">
        <v>607</v>
      </c>
      <c r="H167" s="130"/>
    </row>
    <row r="168" spans="4:8" x14ac:dyDescent="0.25">
      <c r="D168" t="str">
        <f t="shared" si="4"/>
        <v>31NEOENERGIA COELBA</v>
      </c>
      <c r="E168">
        <v>31</v>
      </c>
      <c r="F168" s="130" t="s">
        <v>5</v>
      </c>
      <c r="G168" s="131" t="s">
        <v>608</v>
      </c>
      <c r="H168" s="130"/>
    </row>
    <row r="169" spans="4:8" x14ac:dyDescent="0.25">
      <c r="D169" t="str">
        <f t="shared" si="4"/>
        <v>32NEOENERGIA COELBA</v>
      </c>
      <c r="E169">
        <v>32</v>
      </c>
      <c r="F169" s="130" t="s">
        <v>5</v>
      </c>
      <c r="G169" s="131" t="s">
        <v>610</v>
      </c>
      <c r="H169" s="130"/>
    </row>
    <row r="170" spans="4:8" x14ac:dyDescent="0.25">
      <c r="D170" t="str">
        <f t="shared" si="4"/>
        <v>33NEOENERGIA COELBA</v>
      </c>
      <c r="E170">
        <v>33</v>
      </c>
      <c r="F170" s="130" t="s">
        <v>5</v>
      </c>
      <c r="G170" s="131" t="s">
        <v>611</v>
      </c>
      <c r="H170" s="130"/>
    </row>
    <row r="171" spans="4:8" x14ac:dyDescent="0.25">
      <c r="D171" t="str">
        <f t="shared" si="4"/>
        <v>34NEOENERGIA COELBA</v>
      </c>
      <c r="E171">
        <v>34</v>
      </c>
      <c r="F171" s="130" t="s">
        <v>5</v>
      </c>
      <c r="G171" s="131" t="s">
        <v>612</v>
      </c>
      <c r="H171" s="130"/>
    </row>
    <row r="172" spans="4:8" x14ac:dyDescent="0.25">
      <c r="D172" t="str">
        <f t="shared" si="4"/>
        <v>35NEOENERGIA COELBA</v>
      </c>
      <c r="E172">
        <v>35</v>
      </c>
      <c r="F172" s="130" t="s">
        <v>5</v>
      </c>
      <c r="G172" s="131" t="s">
        <v>721</v>
      </c>
      <c r="H172" s="130"/>
    </row>
    <row r="173" spans="4:8" x14ac:dyDescent="0.25">
      <c r="D173" t="str">
        <f t="shared" si="4"/>
        <v>36NEOENERGIA COELBA</v>
      </c>
      <c r="E173">
        <v>36</v>
      </c>
      <c r="F173" s="130" t="s">
        <v>5</v>
      </c>
      <c r="G173" s="131" t="s">
        <v>613</v>
      </c>
      <c r="H173" s="130"/>
    </row>
    <row r="174" spans="4:8" x14ac:dyDescent="0.25">
      <c r="D174" t="str">
        <f t="shared" si="4"/>
        <v>37NEOENERGIA COELBA</v>
      </c>
      <c r="E174">
        <v>37</v>
      </c>
      <c r="F174" s="130" t="s">
        <v>5</v>
      </c>
      <c r="G174" s="131" t="s">
        <v>614</v>
      </c>
      <c r="H174" s="130"/>
    </row>
    <row r="175" spans="4:8" x14ac:dyDescent="0.25">
      <c r="D175" t="str">
        <f t="shared" si="4"/>
        <v>38NEOENERGIA COELBA</v>
      </c>
      <c r="E175">
        <v>38</v>
      </c>
      <c r="F175" s="130" t="s">
        <v>5</v>
      </c>
      <c r="G175" s="131" t="s">
        <v>615</v>
      </c>
      <c r="H175" s="130"/>
    </row>
    <row r="176" spans="4:8" x14ac:dyDescent="0.25">
      <c r="D176" t="str">
        <f t="shared" si="4"/>
        <v>39NEOENERGIA COELBA</v>
      </c>
      <c r="E176">
        <v>39</v>
      </c>
      <c r="F176" s="130" t="s">
        <v>5</v>
      </c>
      <c r="G176" s="131" t="s">
        <v>617</v>
      </c>
      <c r="H176" s="130"/>
    </row>
    <row r="177" spans="4:8" x14ac:dyDescent="0.25">
      <c r="D177" t="str">
        <f t="shared" si="4"/>
        <v>40NEOENERGIA COELBA</v>
      </c>
      <c r="E177">
        <v>40</v>
      </c>
      <c r="F177" s="130" t="s">
        <v>5</v>
      </c>
      <c r="G177" s="131" t="s">
        <v>618</v>
      </c>
      <c r="H177" s="130"/>
    </row>
    <row r="178" spans="4:8" x14ac:dyDescent="0.25">
      <c r="D178" t="str">
        <f t="shared" si="4"/>
        <v>41NEOENERGIA COELBA</v>
      </c>
      <c r="E178">
        <v>41</v>
      </c>
      <c r="F178" s="130" t="s">
        <v>5</v>
      </c>
      <c r="G178" s="131" t="s">
        <v>722</v>
      </c>
      <c r="H178" s="130"/>
    </row>
    <row r="179" spans="4:8" x14ac:dyDescent="0.25">
      <c r="D179" t="str">
        <f t="shared" si="4"/>
        <v>42NEOENERGIA COELBA</v>
      </c>
      <c r="E179">
        <v>42</v>
      </c>
      <c r="F179" s="130" t="s">
        <v>5</v>
      </c>
      <c r="G179" s="131" t="s">
        <v>619</v>
      </c>
      <c r="H179" s="130"/>
    </row>
    <row r="180" spans="4:8" x14ac:dyDescent="0.25">
      <c r="D180" t="str">
        <f t="shared" si="4"/>
        <v>43NEOENERGIA COELBA</v>
      </c>
      <c r="E180">
        <v>43</v>
      </c>
      <c r="F180" s="130" t="s">
        <v>5</v>
      </c>
      <c r="G180" s="131" t="s">
        <v>620</v>
      </c>
      <c r="H180" s="130"/>
    </row>
    <row r="181" spans="4:8" x14ac:dyDescent="0.25">
      <c r="D181" t="str">
        <f t="shared" si="4"/>
        <v>44NEOENERGIA COELBA</v>
      </c>
      <c r="E181">
        <v>44</v>
      </c>
      <c r="F181" s="130" t="s">
        <v>5</v>
      </c>
      <c r="G181" s="131" t="s">
        <v>621</v>
      </c>
      <c r="H181" s="130"/>
    </row>
    <row r="182" spans="4:8" x14ac:dyDescent="0.25">
      <c r="D182" t="str">
        <f t="shared" si="4"/>
        <v>45NEOENERGIA COELBA</v>
      </c>
      <c r="E182">
        <v>45</v>
      </c>
      <c r="F182" s="130" t="s">
        <v>5</v>
      </c>
      <c r="G182" s="131" t="s">
        <v>622</v>
      </c>
      <c r="H182" s="130"/>
    </row>
    <row r="183" spans="4:8" x14ac:dyDescent="0.25">
      <c r="D183" t="str">
        <f t="shared" si="4"/>
        <v>46NEOENERGIA COELBA</v>
      </c>
      <c r="E183">
        <v>46</v>
      </c>
      <c r="F183" s="130" t="s">
        <v>5</v>
      </c>
      <c r="G183" s="131" t="s">
        <v>623</v>
      </c>
      <c r="H183" s="130"/>
    </row>
    <row r="184" spans="4:8" x14ac:dyDescent="0.25">
      <c r="D184" t="str">
        <f t="shared" si="4"/>
        <v>47NEOENERGIA COELBA</v>
      </c>
      <c r="E184">
        <v>47</v>
      </c>
      <c r="F184" s="130" t="s">
        <v>5</v>
      </c>
      <c r="G184" s="131" t="s">
        <v>624</v>
      </c>
      <c r="H184" s="130"/>
    </row>
    <row r="185" spans="4:8" x14ac:dyDescent="0.25">
      <c r="D185" t="str">
        <f t="shared" si="4"/>
        <v>48NEOENERGIA COELBA</v>
      </c>
      <c r="E185">
        <v>48</v>
      </c>
      <c r="F185" s="130" t="s">
        <v>5</v>
      </c>
      <c r="G185" s="131" t="s">
        <v>625</v>
      </c>
      <c r="H185" s="130"/>
    </row>
    <row r="186" spans="4:8" x14ac:dyDescent="0.25">
      <c r="D186" t="str">
        <f t="shared" si="4"/>
        <v>49NEOENERGIA COELBA</v>
      </c>
      <c r="E186">
        <v>49</v>
      </c>
      <c r="F186" s="130" t="s">
        <v>5</v>
      </c>
      <c r="G186" s="131" t="s">
        <v>626</v>
      </c>
      <c r="H186" s="130"/>
    </row>
    <row r="187" spans="4:8" x14ac:dyDescent="0.25">
      <c r="D187" t="str">
        <f t="shared" si="4"/>
        <v>50NEOENERGIA COELBA</v>
      </c>
      <c r="E187">
        <v>50</v>
      </c>
      <c r="F187" s="130" t="s">
        <v>5</v>
      </c>
      <c r="G187" s="131" t="s">
        <v>628</v>
      </c>
      <c r="H187" s="130"/>
    </row>
    <row r="188" spans="4:8" x14ac:dyDescent="0.25">
      <c r="D188" t="str">
        <f t="shared" si="4"/>
        <v>51NEOENERGIA COELBA</v>
      </c>
      <c r="E188">
        <v>51</v>
      </c>
      <c r="F188" s="130" t="s">
        <v>5</v>
      </c>
      <c r="G188" s="131" t="s">
        <v>629</v>
      </c>
      <c r="H188" s="130"/>
    </row>
    <row r="189" spans="4:8" x14ac:dyDescent="0.25">
      <c r="D189" t="str">
        <f t="shared" si="4"/>
        <v>52NEOENERGIA COELBA</v>
      </c>
      <c r="E189">
        <v>52</v>
      </c>
      <c r="F189" s="130" t="s">
        <v>5</v>
      </c>
      <c r="G189" s="131" t="s">
        <v>723</v>
      </c>
      <c r="H189" s="130"/>
    </row>
    <row r="190" spans="4:8" x14ac:dyDescent="0.25">
      <c r="D190" t="str">
        <f t="shared" si="4"/>
        <v>53NEOENERGIA COELBA</v>
      </c>
      <c r="E190">
        <v>53</v>
      </c>
      <c r="F190" s="130" t="s">
        <v>5</v>
      </c>
      <c r="G190" s="131" t="s">
        <v>630</v>
      </c>
      <c r="H190" s="130"/>
    </row>
    <row r="191" spans="4:8" x14ac:dyDescent="0.25">
      <c r="D191" t="str">
        <f t="shared" si="4"/>
        <v>54NEOENERGIA COELBA</v>
      </c>
      <c r="E191">
        <v>54</v>
      </c>
      <c r="F191" s="130" t="s">
        <v>5</v>
      </c>
      <c r="G191" s="131" t="s">
        <v>631</v>
      </c>
      <c r="H191" s="130"/>
    </row>
    <row r="192" spans="4:8" x14ac:dyDescent="0.25">
      <c r="D192" t="str">
        <f t="shared" si="4"/>
        <v>55NEOENERGIA COELBA</v>
      </c>
      <c r="E192">
        <v>55</v>
      </c>
      <c r="F192" s="130" t="s">
        <v>5</v>
      </c>
      <c r="G192" s="131" t="s">
        <v>632</v>
      </c>
      <c r="H192" s="130"/>
    </row>
    <row r="193" spans="4:8" x14ac:dyDescent="0.25">
      <c r="D193" t="str">
        <f t="shared" si="4"/>
        <v>56NEOENERGIA COELBA</v>
      </c>
      <c r="E193">
        <v>56</v>
      </c>
      <c r="F193" s="130" t="s">
        <v>5</v>
      </c>
      <c r="G193" s="131" t="s">
        <v>633</v>
      </c>
      <c r="H193" s="130"/>
    </row>
    <row r="194" spans="4:8" x14ac:dyDescent="0.25">
      <c r="D194" t="str">
        <f t="shared" si="4"/>
        <v>57NEOENERGIA COELBA</v>
      </c>
      <c r="E194">
        <v>57</v>
      </c>
      <c r="F194" s="130" t="s">
        <v>5</v>
      </c>
      <c r="G194" s="131" t="s">
        <v>634</v>
      </c>
      <c r="H194" s="130"/>
    </row>
    <row r="195" spans="4:8" x14ac:dyDescent="0.25">
      <c r="D195" t="str">
        <f t="shared" ref="D195:D258" si="6">E195&amp;F195</f>
        <v>58NEOENERGIA COELBA</v>
      </c>
      <c r="E195">
        <v>58</v>
      </c>
      <c r="F195" s="130" t="s">
        <v>5</v>
      </c>
      <c r="G195" s="131" t="s">
        <v>635</v>
      </c>
      <c r="H195" s="130"/>
    </row>
    <row r="196" spans="4:8" x14ac:dyDescent="0.25">
      <c r="D196" t="str">
        <f t="shared" si="6"/>
        <v>59NEOENERGIA COELBA</v>
      </c>
      <c r="E196">
        <v>59</v>
      </c>
      <c r="F196" s="130" t="s">
        <v>5</v>
      </c>
      <c r="G196" s="131" t="s">
        <v>636</v>
      </c>
      <c r="H196" s="130"/>
    </row>
    <row r="197" spans="4:8" x14ac:dyDescent="0.25">
      <c r="D197" t="str">
        <f t="shared" si="6"/>
        <v>60NEOENERGIA COELBA</v>
      </c>
      <c r="E197">
        <v>60</v>
      </c>
      <c r="F197" s="130" t="s">
        <v>5</v>
      </c>
      <c r="G197" s="131" t="s">
        <v>637</v>
      </c>
      <c r="H197" s="130"/>
    </row>
    <row r="198" spans="4:8" x14ac:dyDescent="0.25">
      <c r="D198" t="str">
        <f t="shared" si="6"/>
        <v>61NEOENERGIA COELBA</v>
      </c>
      <c r="E198">
        <v>61</v>
      </c>
      <c r="F198" s="130" t="s">
        <v>5</v>
      </c>
      <c r="G198" s="131" t="s">
        <v>638</v>
      </c>
      <c r="H198" s="130"/>
    </row>
    <row r="199" spans="4:8" x14ac:dyDescent="0.25">
      <c r="D199" t="str">
        <f t="shared" si="6"/>
        <v>62NEOENERGIA COELBA</v>
      </c>
      <c r="E199">
        <v>62</v>
      </c>
      <c r="F199" s="130" t="s">
        <v>5</v>
      </c>
      <c r="G199" s="131" t="s">
        <v>639</v>
      </c>
      <c r="H199" s="130"/>
    </row>
    <row r="200" spans="4:8" x14ac:dyDescent="0.25">
      <c r="D200" t="str">
        <f t="shared" si="6"/>
        <v>63NEOENERGIA COELBA</v>
      </c>
      <c r="E200">
        <v>63</v>
      </c>
      <c r="F200" s="130" t="s">
        <v>5</v>
      </c>
      <c r="G200" s="131" t="s">
        <v>724</v>
      </c>
      <c r="H200" s="130"/>
    </row>
    <row r="201" spans="4:8" x14ac:dyDescent="0.25">
      <c r="D201" t="str">
        <f t="shared" si="6"/>
        <v>64NEOENERGIA COELBA</v>
      </c>
      <c r="E201">
        <v>64</v>
      </c>
      <c r="F201" s="130" t="s">
        <v>5</v>
      </c>
      <c r="G201" s="131" t="s">
        <v>725</v>
      </c>
      <c r="H201" s="130"/>
    </row>
    <row r="202" spans="4:8" x14ac:dyDescent="0.25">
      <c r="D202" t="str">
        <f t="shared" si="6"/>
        <v>65NEOENERGIA COELBA</v>
      </c>
      <c r="E202">
        <v>65</v>
      </c>
      <c r="F202" s="130" t="s">
        <v>5</v>
      </c>
      <c r="G202" s="131" t="s">
        <v>641</v>
      </c>
      <c r="H202" s="130"/>
    </row>
    <row r="203" spans="4:8" x14ac:dyDescent="0.25">
      <c r="D203" t="str">
        <f t="shared" si="6"/>
        <v>66NEOENERGIA COELBA</v>
      </c>
      <c r="E203">
        <v>66</v>
      </c>
      <c r="F203" s="130" t="s">
        <v>5</v>
      </c>
      <c r="G203" s="131" t="s">
        <v>726</v>
      </c>
      <c r="H203" s="130"/>
    </row>
    <row r="204" spans="4:8" x14ac:dyDescent="0.25">
      <c r="D204" t="str">
        <f t="shared" si="6"/>
        <v>67NEOENERGIA COELBA</v>
      </c>
      <c r="E204">
        <v>67</v>
      </c>
      <c r="F204" s="130" t="s">
        <v>5</v>
      </c>
      <c r="G204" s="131" t="s">
        <v>642</v>
      </c>
      <c r="H204" s="130"/>
    </row>
    <row r="205" spans="4:8" x14ac:dyDescent="0.25">
      <c r="D205" t="str">
        <f t="shared" si="6"/>
        <v>68NEOENERGIA COELBA</v>
      </c>
      <c r="E205">
        <v>68</v>
      </c>
      <c r="F205" s="130" t="s">
        <v>5</v>
      </c>
      <c r="G205" s="131" t="s">
        <v>727</v>
      </c>
      <c r="H205" s="130"/>
    </row>
    <row r="206" spans="4:8" x14ac:dyDescent="0.25">
      <c r="D206" t="str">
        <f t="shared" si="6"/>
        <v>69NEOENERGIA COELBA</v>
      </c>
      <c r="E206">
        <v>69</v>
      </c>
      <c r="F206" s="130" t="s">
        <v>5</v>
      </c>
      <c r="G206" s="131" t="s">
        <v>728</v>
      </c>
      <c r="H206" s="130"/>
    </row>
    <row r="207" spans="4:8" x14ac:dyDescent="0.25">
      <c r="D207" t="str">
        <f t="shared" si="6"/>
        <v>70NEOENERGIA COELBA</v>
      </c>
      <c r="E207">
        <v>70</v>
      </c>
      <c r="F207" s="130" t="s">
        <v>5</v>
      </c>
      <c r="G207" s="131" t="s">
        <v>644</v>
      </c>
      <c r="H207" s="130"/>
    </row>
    <row r="208" spans="4:8" x14ac:dyDescent="0.25">
      <c r="D208" t="str">
        <f t="shared" si="6"/>
        <v>71NEOENERGIA COELBA</v>
      </c>
      <c r="E208">
        <v>71</v>
      </c>
      <c r="F208" s="130" t="s">
        <v>5</v>
      </c>
      <c r="G208" s="131" t="s">
        <v>645</v>
      </c>
      <c r="H208" s="130"/>
    </row>
    <row r="209" spans="4:8" x14ac:dyDescent="0.25">
      <c r="D209" t="str">
        <f t="shared" si="6"/>
        <v>72NEOENERGIA COELBA</v>
      </c>
      <c r="E209">
        <v>72</v>
      </c>
      <c r="F209" s="130" t="s">
        <v>5</v>
      </c>
      <c r="G209" s="131" t="s">
        <v>646</v>
      </c>
      <c r="H209" s="130"/>
    </row>
    <row r="210" spans="4:8" x14ac:dyDescent="0.25">
      <c r="D210" t="str">
        <f t="shared" si="6"/>
        <v>73NEOENERGIA COELBA</v>
      </c>
      <c r="E210">
        <v>73</v>
      </c>
      <c r="F210" s="130" t="s">
        <v>5</v>
      </c>
      <c r="G210" s="131" t="s">
        <v>647</v>
      </c>
      <c r="H210" s="130"/>
    </row>
    <row r="211" spans="4:8" x14ac:dyDescent="0.25">
      <c r="D211" t="str">
        <f t="shared" si="6"/>
        <v>74NEOENERGIA COELBA</v>
      </c>
      <c r="E211">
        <v>74</v>
      </c>
      <c r="F211" s="130" t="s">
        <v>5</v>
      </c>
      <c r="G211" s="131" t="s">
        <v>729</v>
      </c>
      <c r="H211" s="130"/>
    </row>
    <row r="212" spans="4:8" x14ac:dyDescent="0.25">
      <c r="D212" t="str">
        <f t="shared" si="6"/>
        <v>75NEOENERGIA COELBA</v>
      </c>
      <c r="E212">
        <v>75</v>
      </c>
      <c r="F212" s="130" t="s">
        <v>5</v>
      </c>
      <c r="G212" s="131" t="s">
        <v>649</v>
      </c>
      <c r="H212" s="130"/>
    </row>
    <row r="213" spans="4:8" x14ac:dyDescent="0.25">
      <c r="D213" t="str">
        <f t="shared" si="6"/>
        <v>76NEOENERGIA COELBA</v>
      </c>
      <c r="E213">
        <v>76</v>
      </c>
      <c r="F213" s="130" t="s">
        <v>5</v>
      </c>
      <c r="G213" s="131" t="s">
        <v>730</v>
      </c>
      <c r="H213" s="130"/>
    </row>
    <row r="214" spans="4:8" x14ac:dyDescent="0.25">
      <c r="D214" t="str">
        <f t="shared" si="6"/>
        <v>77NEOENERGIA COELBA</v>
      </c>
      <c r="E214">
        <v>77</v>
      </c>
      <c r="F214" s="130" t="s">
        <v>5</v>
      </c>
      <c r="G214" s="131" t="s">
        <v>650</v>
      </c>
      <c r="H214" s="130"/>
    </row>
    <row r="215" spans="4:8" x14ac:dyDescent="0.25">
      <c r="D215" t="str">
        <f t="shared" si="6"/>
        <v>78NEOENERGIA COELBA</v>
      </c>
      <c r="E215">
        <v>78</v>
      </c>
      <c r="F215" s="130" t="s">
        <v>5</v>
      </c>
      <c r="G215" s="131" t="s">
        <v>731</v>
      </c>
      <c r="H215" s="130"/>
    </row>
    <row r="216" spans="4:8" x14ac:dyDescent="0.25">
      <c r="D216" t="str">
        <f t="shared" si="6"/>
        <v>79NEOENERGIA COELBA</v>
      </c>
      <c r="E216">
        <v>79</v>
      </c>
      <c r="F216" s="130" t="s">
        <v>5</v>
      </c>
      <c r="G216" s="131" t="s">
        <v>9</v>
      </c>
      <c r="H216" s="130"/>
    </row>
    <row r="217" spans="4:8" x14ac:dyDescent="0.25">
      <c r="D217" t="str">
        <f t="shared" si="6"/>
        <v>80NEOENERGIA COELBA</v>
      </c>
      <c r="E217">
        <v>80</v>
      </c>
      <c r="F217" s="130" t="s">
        <v>5</v>
      </c>
      <c r="G217" s="131" t="s">
        <v>653</v>
      </c>
      <c r="H217" s="130"/>
    </row>
    <row r="218" spans="4:8" x14ac:dyDescent="0.25">
      <c r="D218" t="str">
        <f t="shared" si="6"/>
        <v>81NEOENERGIA COELBA</v>
      </c>
      <c r="E218">
        <v>81</v>
      </c>
      <c r="F218" s="130" t="s">
        <v>5</v>
      </c>
      <c r="G218" s="131" t="s">
        <v>732</v>
      </c>
      <c r="H218" s="130"/>
    </row>
    <row r="219" spans="4:8" x14ac:dyDescent="0.25">
      <c r="D219" t="str">
        <f t="shared" si="6"/>
        <v>82NEOENERGIA COELBA</v>
      </c>
      <c r="E219">
        <v>82</v>
      </c>
      <c r="F219" s="130" t="s">
        <v>5</v>
      </c>
      <c r="G219" s="131" t="s">
        <v>733</v>
      </c>
      <c r="H219" s="130"/>
    </row>
    <row r="220" spans="4:8" x14ac:dyDescent="0.25">
      <c r="D220" t="str">
        <f t="shared" si="6"/>
        <v>83NEOENERGIA COELBA</v>
      </c>
      <c r="E220">
        <v>83</v>
      </c>
      <c r="F220" s="130" t="s">
        <v>5</v>
      </c>
      <c r="G220" s="131" t="s">
        <v>734</v>
      </c>
      <c r="H220" s="130"/>
    </row>
    <row r="221" spans="4:8" x14ac:dyDescent="0.25">
      <c r="D221" t="str">
        <f t="shared" si="6"/>
        <v>84NEOENERGIA COELBA</v>
      </c>
      <c r="E221">
        <v>84</v>
      </c>
      <c r="F221" s="130" t="s">
        <v>5</v>
      </c>
      <c r="G221" s="131" t="s">
        <v>735</v>
      </c>
      <c r="H221" s="130"/>
    </row>
    <row r="222" spans="4:8" x14ac:dyDescent="0.25">
      <c r="D222" t="str">
        <f t="shared" si="6"/>
        <v>85NEOENERGIA COELBA</v>
      </c>
      <c r="E222">
        <v>85</v>
      </c>
      <c r="F222" s="130" t="s">
        <v>5</v>
      </c>
      <c r="G222" s="131" t="s">
        <v>655</v>
      </c>
      <c r="H222" s="130"/>
    </row>
    <row r="223" spans="4:8" x14ac:dyDescent="0.25">
      <c r="D223" t="str">
        <f t="shared" si="6"/>
        <v>86NEOENERGIA COELBA</v>
      </c>
      <c r="E223">
        <v>86</v>
      </c>
      <c r="F223" s="130" t="s">
        <v>5</v>
      </c>
      <c r="G223" s="131" t="s">
        <v>736</v>
      </c>
      <c r="H223" s="130"/>
    </row>
    <row r="224" spans="4:8" x14ac:dyDescent="0.25">
      <c r="D224" t="str">
        <f t="shared" si="6"/>
        <v>87NEOENERGIA COELBA</v>
      </c>
      <c r="E224">
        <v>87</v>
      </c>
      <c r="F224" s="130" t="s">
        <v>5</v>
      </c>
      <c r="G224" s="131" t="s">
        <v>737</v>
      </c>
      <c r="H224" s="130"/>
    </row>
    <row r="225" spans="4:8" x14ac:dyDescent="0.25">
      <c r="D225" t="str">
        <f t="shared" si="6"/>
        <v>88NEOENERGIA COELBA</v>
      </c>
      <c r="E225">
        <v>88</v>
      </c>
      <c r="F225" s="130" t="s">
        <v>5</v>
      </c>
      <c r="G225" s="131" t="s">
        <v>738</v>
      </c>
      <c r="H225" s="130"/>
    </row>
    <row r="226" spans="4:8" x14ac:dyDescent="0.25">
      <c r="D226" t="str">
        <f t="shared" si="6"/>
        <v>89NEOENERGIA COELBA</v>
      </c>
      <c r="E226">
        <v>89</v>
      </c>
      <c r="F226" s="130" t="s">
        <v>5</v>
      </c>
      <c r="G226" s="131" t="s">
        <v>739</v>
      </c>
      <c r="H226" s="130"/>
    </row>
    <row r="227" spans="4:8" x14ac:dyDescent="0.25">
      <c r="D227" t="str">
        <f t="shared" si="6"/>
        <v>90NEOENERGIA COELBA</v>
      </c>
      <c r="E227">
        <v>90</v>
      </c>
      <c r="F227" s="130" t="s">
        <v>5</v>
      </c>
      <c r="G227" s="131" t="s">
        <v>740</v>
      </c>
      <c r="H227" s="130"/>
    </row>
    <row r="228" spans="4:8" x14ac:dyDescent="0.25">
      <c r="D228" t="str">
        <f t="shared" si="6"/>
        <v>91NEOENERGIA COELBA</v>
      </c>
      <c r="E228">
        <v>91</v>
      </c>
      <c r="F228" s="130" t="s">
        <v>5</v>
      </c>
      <c r="G228" s="131" t="s">
        <v>741</v>
      </c>
      <c r="H228" s="130"/>
    </row>
    <row r="229" spans="4:8" x14ac:dyDescent="0.25">
      <c r="D229" t="str">
        <f t="shared" si="6"/>
        <v>92NEOENERGIA COELBA</v>
      </c>
      <c r="E229">
        <v>92</v>
      </c>
      <c r="F229" s="130" t="s">
        <v>5</v>
      </c>
      <c r="G229" s="131" t="s">
        <v>742</v>
      </c>
      <c r="H229" s="130"/>
    </row>
    <row r="230" spans="4:8" x14ac:dyDescent="0.25">
      <c r="D230" t="str">
        <f t="shared" si="6"/>
        <v>93NEOENERGIA COELBA</v>
      </c>
      <c r="E230">
        <v>93</v>
      </c>
      <c r="F230" s="130" t="s">
        <v>5</v>
      </c>
      <c r="G230" s="131" t="s">
        <v>743</v>
      </c>
      <c r="H230" s="130"/>
    </row>
    <row r="231" spans="4:8" x14ac:dyDescent="0.25">
      <c r="D231" t="str">
        <f t="shared" si="6"/>
        <v>94NEOENERGIA COELBA</v>
      </c>
      <c r="E231">
        <v>94</v>
      </c>
      <c r="F231" s="130" t="s">
        <v>5</v>
      </c>
      <c r="G231" s="131" t="s">
        <v>744</v>
      </c>
      <c r="H231" s="130"/>
    </row>
    <row r="232" spans="4:8" x14ac:dyDescent="0.25">
      <c r="D232" t="str">
        <f t="shared" si="6"/>
        <v>95NEOENERGIA COELBA</v>
      </c>
      <c r="E232">
        <v>95</v>
      </c>
      <c r="F232" s="130" t="s">
        <v>5</v>
      </c>
      <c r="G232" s="131" t="s">
        <v>745</v>
      </c>
      <c r="H232" s="130"/>
    </row>
    <row r="233" spans="4:8" x14ac:dyDescent="0.25">
      <c r="D233" t="str">
        <f t="shared" si="6"/>
        <v>96NEOENERGIA COELBA</v>
      </c>
      <c r="E233">
        <v>96</v>
      </c>
      <c r="F233" s="130" t="s">
        <v>5</v>
      </c>
      <c r="G233" s="131" t="s">
        <v>746</v>
      </c>
      <c r="H233" s="130"/>
    </row>
    <row r="234" spans="4:8" x14ac:dyDescent="0.25">
      <c r="D234" t="str">
        <f t="shared" si="6"/>
        <v>97NEOENERGIA COELBA</v>
      </c>
      <c r="E234">
        <v>97</v>
      </c>
      <c r="F234" s="130" t="s">
        <v>5</v>
      </c>
      <c r="G234" s="131" t="s">
        <v>663</v>
      </c>
      <c r="H234" s="130"/>
    </row>
    <row r="235" spans="4:8" x14ac:dyDescent="0.25">
      <c r="D235" t="str">
        <f t="shared" si="6"/>
        <v>98NEOENERGIA COELBA</v>
      </c>
      <c r="E235">
        <v>98</v>
      </c>
      <c r="F235" s="130" t="s">
        <v>5</v>
      </c>
      <c r="G235" s="131" t="s">
        <v>664</v>
      </c>
      <c r="H235" s="130"/>
    </row>
    <row r="236" spans="4:8" x14ac:dyDescent="0.25">
      <c r="D236" t="str">
        <f t="shared" si="6"/>
        <v>99NEOENERGIA COELBA</v>
      </c>
      <c r="E236">
        <v>99</v>
      </c>
      <c r="F236" s="130" t="s">
        <v>5</v>
      </c>
      <c r="G236" s="131" t="s">
        <v>665</v>
      </c>
      <c r="H236" s="130"/>
    </row>
    <row r="237" spans="4:8" x14ac:dyDescent="0.25">
      <c r="D237" t="str">
        <f t="shared" si="6"/>
        <v>100NEOENERGIA COELBA</v>
      </c>
      <c r="E237">
        <v>100</v>
      </c>
      <c r="F237" s="130" t="s">
        <v>5</v>
      </c>
      <c r="G237" s="131" t="s">
        <v>747</v>
      </c>
      <c r="H237" s="130"/>
    </row>
    <row r="238" spans="4:8" x14ac:dyDescent="0.25">
      <c r="D238" t="str">
        <f t="shared" si="6"/>
        <v>101NEOENERGIA COELBA</v>
      </c>
      <c r="E238">
        <v>101</v>
      </c>
      <c r="F238" s="130" t="s">
        <v>5</v>
      </c>
      <c r="G238" s="131" t="s">
        <v>667</v>
      </c>
      <c r="H238" s="130"/>
    </row>
    <row r="239" spans="4:8" x14ac:dyDescent="0.25">
      <c r="D239" t="str">
        <f t="shared" si="6"/>
        <v>102NEOENERGIA COELBA</v>
      </c>
      <c r="E239">
        <v>102</v>
      </c>
      <c r="F239" s="130" t="s">
        <v>5</v>
      </c>
      <c r="G239" s="131" t="s">
        <v>748</v>
      </c>
      <c r="H239" s="130"/>
    </row>
    <row r="240" spans="4:8" x14ac:dyDescent="0.25">
      <c r="D240" t="str">
        <f t="shared" si="6"/>
        <v>103NEOENERGIA COELBA</v>
      </c>
      <c r="E240">
        <v>103</v>
      </c>
      <c r="F240" s="130" t="s">
        <v>5</v>
      </c>
      <c r="G240" s="131" t="s">
        <v>669</v>
      </c>
      <c r="H240" s="130"/>
    </row>
    <row r="241" spans="4:8" x14ac:dyDescent="0.25">
      <c r="D241" t="str">
        <f t="shared" si="6"/>
        <v>104NEOENERGIA COELBA</v>
      </c>
      <c r="E241">
        <v>104</v>
      </c>
      <c r="F241" s="130" t="s">
        <v>5</v>
      </c>
      <c r="G241" s="131" t="s">
        <v>670</v>
      </c>
      <c r="H241" s="130"/>
    </row>
    <row r="242" spans="4:8" x14ac:dyDescent="0.25">
      <c r="D242" t="str">
        <f t="shared" si="6"/>
        <v>105NEOENERGIA COELBA</v>
      </c>
      <c r="E242">
        <v>105</v>
      </c>
      <c r="F242" s="130" t="s">
        <v>5</v>
      </c>
      <c r="G242" s="131" t="s">
        <v>671</v>
      </c>
      <c r="H242" s="130"/>
    </row>
    <row r="243" spans="4:8" x14ac:dyDescent="0.25">
      <c r="D243" t="str">
        <f t="shared" si="6"/>
        <v>106NEOENERGIA COELBA</v>
      </c>
      <c r="E243">
        <v>106</v>
      </c>
      <c r="F243" s="130" t="s">
        <v>5</v>
      </c>
      <c r="G243" s="131" t="s">
        <v>672</v>
      </c>
      <c r="H243" s="130"/>
    </row>
    <row r="244" spans="4:8" x14ac:dyDescent="0.25">
      <c r="D244" t="str">
        <f t="shared" si="6"/>
        <v>107NEOENERGIA COELBA</v>
      </c>
      <c r="E244">
        <v>107</v>
      </c>
      <c r="F244" s="130" t="s">
        <v>5</v>
      </c>
      <c r="G244" s="131" t="s">
        <v>749</v>
      </c>
      <c r="H244" s="130"/>
    </row>
    <row r="245" spans="4:8" x14ac:dyDescent="0.25">
      <c r="D245" t="str">
        <f t="shared" si="6"/>
        <v>108NEOENERGIA COELBA</v>
      </c>
      <c r="E245">
        <v>108</v>
      </c>
      <c r="F245" s="130" t="s">
        <v>5</v>
      </c>
      <c r="G245" s="131" t="s">
        <v>750</v>
      </c>
      <c r="H245" s="130"/>
    </row>
    <row r="246" spans="4:8" x14ac:dyDescent="0.25">
      <c r="D246" t="str">
        <f t="shared" si="6"/>
        <v>109NEOENERGIA COELBA</v>
      </c>
      <c r="E246">
        <v>109</v>
      </c>
      <c r="F246" s="130" t="s">
        <v>5</v>
      </c>
      <c r="G246" s="131" t="s">
        <v>674</v>
      </c>
      <c r="H246" s="130"/>
    </row>
    <row r="247" spans="4:8" x14ac:dyDescent="0.25">
      <c r="D247" t="str">
        <f t="shared" si="6"/>
        <v>110NEOENERGIA COELBA</v>
      </c>
      <c r="E247">
        <v>110</v>
      </c>
      <c r="F247" s="130" t="s">
        <v>5</v>
      </c>
      <c r="G247" s="131" t="s">
        <v>751</v>
      </c>
      <c r="H247" s="130"/>
    </row>
    <row r="248" spans="4:8" x14ac:dyDescent="0.25">
      <c r="D248" t="str">
        <f t="shared" si="6"/>
        <v>111NEOENERGIA COELBA</v>
      </c>
      <c r="E248">
        <v>111</v>
      </c>
      <c r="F248" s="130" t="s">
        <v>5</v>
      </c>
      <c r="G248" s="131" t="s">
        <v>752</v>
      </c>
      <c r="H248" s="130"/>
    </row>
    <row r="249" spans="4:8" x14ac:dyDescent="0.25">
      <c r="D249" t="str">
        <f t="shared" si="6"/>
        <v>112NEOENERGIA COELBA</v>
      </c>
      <c r="E249">
        <v>112</v>
      </c>
      <c r="F249" s="130" t="s">
        <v>5</v>
      </c>
      <c r="G249" s="131" t="s">
        <v>753</v>
      </c>
      <c r="H249" s="130"/>
    </row>
    <row r="250" spans="4:8" x14ac:dyDescent="0.25">
      <c r="D250" t="str">
        <f t="shared" si="6"/>
        <v>113NEOENERGIA COELBA</v>
      </c>
      <c r="E250">
        <v>113</v>
      </c>
      <c r="F250" s="130" t="s">
        <v>5</v>
      </c>
      <c r="G250" s="131" t="s">
        <v>677</v>
      </c>
      <c r="H250" s="130"/>
    </row>
    <row r="251" spans="4:8" x14ac:dyDescent="0.25">
      <c r="D251" t="str">
        <f t="shared" si="6"/>
        <v>114NEOENERGIA COELBA</v>
      </c>
      <c r="E251">
        <v>114</v>
      </c>
      <c r="F251" s="130" t="s">
        <v>5</v>
      </c>
      <c r="G251" s="131" t="s">
        <v>678</v>
      </c>
      <c r="H251" s="130"/>
    </row>
    <row r="252" spans="4:8" x14ac:dyDescent="0.25">
      <c r="D252" t="str">
        <f t="shared" si="6"/>
        <v>115NEOENERGIA COELBA</v>
      </c>
      <c r="E252">
        <v>115</v>
      </c>
      <c r="F252" s="130" t="s">
        <v>5</v>
      </c>
      <c r="G252" s="131" t="s">
        <v>754</v>
      </c>
      <c r="H252" s="130"/>
    </row>
    <row r="253" spans="4:8" x14ac:dyDescent="0.25">
      <c r="D253" t="str">
        <f t="shared" si="6"/>
        <v>116NEOENERGIA COELBA</v>
      </c>
      <c r="E253">
        <v>116</v>
      </c>
      <c r="F253" s="130" t="s">
        <v>5</v>
      </c>
      <c r="G253" s="131" t="s">
        <v>680</v>
      </c>
      <c r="H253" s="130"/>
    </row>
    <row r="254" spans="4:8" x14ac:dyDescent="0.25">
      <c r="D254" t="str">
        <f t="shared" si="6"/>
        <v>117NEOENERGIA COELBA</v>
      </c>
      <c r="E254">
        <v>117</v>
      </c>
      <c r="F254" s="130" t="s">
        <v>5</v>
      </c>
      <c r="G254" s="131" t="s">
        <v>755</v>
      </c>
      <c r="H254" s="130"/>
    </row>
    <row r="255" spans="4:8" x14ac:dyDescent="0.25">
      <c r="D255" t="str">
        <f t="shared" si="6"/>
        <v>118NEOENERGIA COELBA</v>
      </c>
      <c r="E255">
        <v>118</v>
      </c>
      <c r="F255" s="130" t="s">
        <v>5</v>
      </c>
      <c r="G255" s="131" t="s">
        <v>756</v>
      </c>
      <c r="H255" s="130"/>
    </row>
    <row r="256" spans="4:8" x14ac:dyDescent="0.25">
      <c r="D256" t="str">
        <f t="shared" si="6"/>
        <v>119NEOENERGIA COELBA</v>
      </c>
      <c r="E256">
        <v>119</v>
      </c>
      <c r="F256" s="130" t="s">
        <v>5</v>
      </c>
      <c r="G256" s="131" t="s">
        <v>757</v>
      </c>
      <c r="H256" s="130"/>
    </row>
    <row r="257" spans="4:8" x14ac:dyDescent="0.25">
      <c r="D257" t="str">
        <f t="shared" si="6"/>
        <v>120NEOENERGIA COELBA</v>
      </c>
      <c r="E257">
        <v>120</v>
      </c>
      <c r="F257" s="130" t="s">
        <v>5</v>
      </c>
      <c r="G257" s="131" t="s">
        <v>682</v>
      </c>
      <c r="H257" s="130"/>
    </row>
    <row r="258" spans="4:8" x14ac:dyDescent="0.25">
      <c r="D258" t="str">
        <f t="shared" si="6"/>
        <v>121NEOENERGIA COELBA</v>
      </c>
      <c r="E258">
        <v>121</v>
      </c>
      <c r="F258" s="130" t="s">
        <v>5</v>
      </c>
      <c r="G258" s="131" t="s">
        <v>683</v>
      </c>
      <c r="H258" s="130"/>
    </row>
    <row r="259" spans="4:8" x14ac:dyDescent="0.25">
      <c r="D259" t="str">
        <f t="shared" ref="D259:D322" si="7">E259&amp;F259</f>
        <v>122NEOENERGIA COELBA</v>
      </c>
      <c r="E259">
        <v>122</v>
      </c>
      <c r="F259" s="130" t="s">
        <v>5</v>
      </c>
      <c r="G259" s="131" t="s">
        <v>684</v>
      </c>
      <c r="H259" s="130"/>
    </row>
    <row r="260" spans="4:8" x14ac:dyDescent="0.25">
      <c r="D260" t="str">
        <f t="shared" si="7"/>
        <v>123NEOENERGIA COELBA</v>
      </c>
      <c r="E260">
        <v>123</v>
      </c>
      <c r="F260" s="130" t="s">
        <v>5</v>
      </c>
      <c r="G260" s="131" t="s">
        <v>685</v>
      </c>
      <c r="H260" s="130"/>
    </row>
    <row r="261" spans="4:8" x14ac:dyDescent="0.25">
      <c r="D261" t="str">
        <f t="shared" si="7"/>
        <v>124NEOENERGIA COELBA</v>
      </c>
      <c r="E261">
        <v>124</v>
      </c>
      <c r="F261" s="130" t="s">
        <v>5</v>
      </c>
      <c r="G261" s="131" t="s">
        <v>686</v>
      </c>
      <c r="H261" s="130"/>
    </row>
    <row r="262" spans="4:8" x14ac:dyDescent="0.25">
      <c r="D262" t="str">
        <f t="shared" si="7"/>
        <v>125NEOENERGIA COELBA</v>
      </c>
      <c r="E262">
        <v>125</v>
      </c>
      <c r="F262" s="130" t="s">
        <v>5</v>
      </c>
      <c r="G262" s="131" t="s">
        <v>687</v>
      </c>
      <c r="H262" s="130"/>
    </row>
    <row r="263" spans="4:8" x14ac:dyDescent="0.25">
      <c r="D263" t="str">
        <f t="shared" si="7"/>
        <v>126NEOENERGIA COELBA</v>
      </c>
      <c r="E263">
        <v>126</v>
      </c>
      <c r="F263" s="130" t="s">
        <v>5</v>
      </c>
      <c r="G263" s="131" t="s">
        <v>758</v>
      </c>
      <c r="H263" s="130"/>
    </row>
    <row r="264" spans="4:8" x14ac:dyDescent="0.25">
      <c r="D264" t="str">
        <f t="shared" si="7"/>
        <v>127NEOENERGIA COELBA</v>
      </c>
      <c r="E264">
        <v>127</v>
      </c>
      <c r="F264" s="130" t="s">
        <v>5</v>
      </c>
      <c r="G264" s="131" t="s">
        <v>759</v>
      </c>
      <c r="H264" s="130"/>
    </row>
    <row r="265" spans="4:8" x14ac:dyDescent="0.25">
      <c r="D265" t="str">
        <f t="shared" si="7"/>
        <v>128NEOENERGIA COELBA</v>
      </c>
      <c r="E265">
        <v>128</v>
      </c>
      <c r="F265" s="130" t="s">
        <v>5</v>
      </c>
      <c r="G265" s="131" t="s">
        <v>760</v>
      </c>
      <c r="H265" s="130"/>
    </row>
    <row r="266" spans="4:8" x14ac:dyDescent="0.25">
      <c r="D266" t="str">
        <f t="shared" si="7"/>
        <v>129NEOENERGIA COELBA</v>
      </c>
      <c r="E266">
        <v>129</v>
      </c>
      <c r="F266" s="130" t="s">
        <v>5</v>
      </c>
      <c r="G266" s="131" t="s">
        <v>761</v>
      </c>
      <c r="H266" s="130"/>
    </row>
    <row r="267" spans="4:8" x14ac:dyDescent="0.25">
      <c r="D267" t="str">
        <f t="shared" si="7"/>
        <v>130NEOENERGIA COELBA</v>
      </c>
      <c r="E267">
        <v>130</v>
      </c>
      <c r="F267" s="130" t="s">
        <v>5</v>
      </c>
      <c r="G267" s="131" t="s">
        <v>690</v>
      </c>
      <c r="H267" s="130"/>
    </row>
    <row r="268" spans="4:8" x14ac:dyDescent="0.25">
      <c r="D268" t="str">
        <f t="shared" si="7"/>
        <v>131NEOENERGIA COELBA</v>
      </c>
      <c r="E268">
        <v>131</v>
      </c>
      <c r="F268" s="130" t="s">
        <v>5</v>
      </c>
      <c r="G268" s="131" t="s">
        <v>762</v>
      </c>
      <c r="H268" s="130"/>
    </row>
    <row r="269" spans="4:8" x14ac:dyDescent="0.25">
      <c r="D269" t="str">
        <f t="shared" si="7"/>
        <v>132NEOENERGIA COELBA</v>
      </c>
      <c r="E269">
        <v>132</v>
      </c>
      <c r="F269" s="130" t="s">
        <v>5</v>
      </c>
      <c r="G269" s="131" t="s">
        <v>694</v>
      </c>
      <c r="H269" s="130"/>
    </row>
    <row r="270" spans="4:8" x14ac:dyDescent="0.25">
      <c r="D270" t="str">
        <f t="shared" si="7"/>
        <v>133NEOENERGIA COELBA</v>
      </c>
      <c r="E270">
        <v>133</v>
      </c>
      <c r="F270" s="130" t="s">
        <v>5</v>
      </c>
      <c r="G270" s="131" t="s">
        <v>763</v>
      </c>
      <c r="H270" s="130"/>
    </row>
    <row r="271" spans="4:8" x14ac:dyDescent="0.25">
      <c r="D271" t="str">
        <f t="shared" si="7"/>
        <v>134NEOENERGIA COELBA</v>
      </c>
      <c r="E271">
        <v>134</v>
      </c>
      <c r="F271" s="130" t="s">
        <v>5</v>
      </c>
      <c r="G271" s="131" t="s">
        <v>695</v>
      </c>
      <c r="H271" s="130"/>
    </row>
    <row r="272" spans="4:8" x14ac:dyDescent="0.25">
      <c r="D272" t="str">
        <f t="shared" si="7"/>
        <v>135NEOENERGIA COELBA</v>
      </c>
      <c r="E272">
        <v>135</v>
      </c>
      <c r="F272" s="130" t="s">
        <v>5</v>
      </c>
      <c r="G272" s="131" t="s">
        <v>764</v>
      </c>
      <c r="H272" s="130"/>
    </row>
    <row r="273" spans="4:8" x14ac:dyDescent="0.25">
      <c r="D273" t="str">
        <f t="shared" si="7"/>
        <v>136NEOENERGIA COELBA</v>
      </c>
      <c r="E273">
        <v>136</v>
      </c>
      <c r="F273" s="130" t="s">
        <v>5</v>
      </c>
      <c r="G273" s="131" t="s">
        <v>697</v>
      </c>
      <c r="H273" s="130"/>
    </row>
    <row r="274" spans="4:8" x14ac:dyDescent="0.25">
      <c r="D274" t="str">
        <f t="shared" si="7"/>
        <v>137NEOENERGIA COELBA</v>
      </c>
      <c r="E274">
        <v>137</v>
      </c>
      <c r="F274" s="130" t="s">
        <v>5</v>
      </c>
      <c r="G274" s="131" t="s">
        <v>765</v>
      </c>
      <c r="H274" s="130"/>
    </row>
    <row r="275" spans="4:8" x14ac:dyDescent="0.25">
      <c r="D275" t="str">
        <f t="shared" si="7"/>
        <v>138NEOENERGIA COELBA</v>
      </c>
      <c r="E275">
        <v>138</v>
      </c>
      <c r="F275" s="130" t="s">
        <v>5</v>
      </c>
      <c r="G275" s="131" t="s">
        <v>698</v>
      </c>
      <c r="H275" s="130"/>
    </row>
    <row r="276" spans="4:8" x14ac:dyDescent="0.25">
      <c r="D276" t="str">
        <f t="shared" si="7"/>
        <v>139NEOENERGIA COELBA</v>
      </c>
      <c r="E276">
        <v>139</v>
      </c>
      <c r="F276" s="130" t="s">
        <v>5</v>
      </c>
      <c r="G276" s="131" t="s">
        <v>766</v>
      </c>
      <c r="H276" s="130"/>
    </row>
    <row r="277" spans="4:8" x14ac:dyDescent="0.25">
      <c r="D277" t="str">
        <f t="shared" si="7"/>
        <v>140NEOENERGIA COELBA</v>
      </c>
      <c r="E277">
        <v>140</v>
      </c>
      <c r="F277" s="130" t="s">
        <v>5</v>
      </c>
      <c r="G277" s="131" t="s">
        <v>767</v>
      </c>
      <c r="H277" s="130"/>
    </row>
    <row r="278" spans="4:8" x14ac:dyDescent="0.25">
      <c r="D278" t="str">
        <f t="shared" si="7"/>
        <v>141NEOENERGIA COELBA</v>
      </c>
      <c r="E278">
        <v>141</v>
      </c>
      <c r="F278" s="130" t="s">
        <v>5</v>
      </c>
      <c r="G278" s="131" t="s">
        <v>699</v>
      </c>
      <c r="H278" s="130"/>
    </row>
    <row r="279" spans="4:8" x14ac:dyDescent="0.25">
      <c r="D279" t="str">
        <f t="shared" si="7"/>
        <v>142NEOENERGIA COELBA</v>
      </c>
      <c r="E279">
        <v>142</v>
      </c>
      <c r="F279" s="130" t="s">
        <v>5</v>
      </c>
      <c r="G279" s="131" t="s">
        <v>768</v>
      </c>
      <c r="H279" s="130"/>
    </row>
    <row r="280" spans="4:8" x14ac:dyDescent="0.25">
      <c r="D280" t="str">
        <f t="shared" si="7"/>
        <v>143NEOENERGIA COELBA</v>
      </c>
      <c r="E280">
        <v>143</v>
      </c>
      <c r="F280" s="130" t="s">
        <v>5</v>
      </c>
      <c r="G280" s="131" t="s">
        <v>769</v>
      </c>
      <c r="H280" s="130"/>
    </row>
    <row r="281" spans="4:8" x14ac:dyDescent="0.25">
      <c r="D281" t="str">
        <f t="shared" si="7"/>
        <v>144NEOENERGIA COELBA</v>
      </c>
      <c r="E281">
        <v>144</v>
      </c>
      <c r="F281" s="130" t="s">
        <v>5</v>
      </c>
      <c r="G281" s="131" t="s">
        <v>701</v>
      </c>
      <c r="H281" s="130"/>
    </row>
    <row r="282" spans="4:8" x14ac:dyDescent="0.25">
      <c r="D282" t="str">
        <f t="shared" si="7"/>
        <v>145NEOENERGIA COELBA</v>
      </c>
      <c r="E282">
        <v>145</v>
      </c>
      <c r="F282" s="130" t="s">
        <v>5</v>
      </c>
      <c r="G282" s="131" t="s">
        <v>770</v>
      </c>
      <c r="H282" s="130"/>
    </row>
    <row r="283" spans="4:8" x14ac:dyDescent="0.25">
      <c r="D283" t="str">
        <f t="shared" si="7"/>
        <v>146NEOENERGIA COELBA</v>
      </c>
      <c r="E283">
        <v>146</v>
      </c>
      <c r="F283" s="130" t="s">
        <v>5</v>
      </c>
      <c r="G283" s="131" t="s">
        <v>702</v>
      </c>
      <c r="H283" s="130"/>
    </row>
    <row r="284" spans="4:8" x14ac:dyDescent="0.25">
      <c r="D284" t="str">
        <f t="shared" si="7"/>
        <v>147NEOENERGIA COELBA</v>
      </c>
      <c r="E284">
        <v>147</v>
      </c>
      <c r="F284" s="130" t="s">
        <v>5</v>
      </c>
      <c r="G284" s="131" t="s">
        <v>771</v>
      </c>
      <c r="H284" s="130"/>
    </row>
    <row r="285" spans="4:8" x14ac:dyDescent="0.25">
      <c r="D285" t="str">
        <f t="shared" si="7"/>
        <v>148NEOENERGIA COELBA</v>
      </c>
      <c r="E285">
        <v>148</v>
      </c>
      <c r="F285" s="130" t="s">
        <v>5</v>
      </c>
      <c r="G285" s="131" t="s">
        <v>703</v>
      </c>
      <c r="H285" s="130"/>
    </row>
    <row r="286" spans="4:8" x14ac:dyDescent="0.25">
      <c r="D286" t="str">
        <f t="shared" si="7"/>
        <v>149NEOENERGIA COELBA</v>
      </c>
      <c r="E286">
        <v>149</v>
      </c>
      <c r="F286" s="130" t="s">
        <v>5</v>
      </c>
      <c r="G286" s="131" t="s">
        <v>704</v>
      </c>
      <c r="H286" s="130"/>
    </row>
    <row r="287" spans="4:8" x14ac:dyDescent="0.25">
      <c r="D287" t="str">
        <f t="shared" si="7"/>
        <v>150NEOENERGIA COELBA</v>
      </c>
      <c r="E287">
        <v>150</v>
      </c>
      <c r="F287" s="130" t="s">
        <v>5</v>
      </c>
      <c r="G287" s="131" t="s">
        <v>705</v>
      </c>
      <c r="H287" s="130"/>
    </row>
    <row r="288" spans="4:8" x14ac:dyDescent="0.25">
      <c r="D288" t="str">
        <f t="shared" si="7"/>
        <v>151NEOENERGIA COELBA</v>
      </c>
      <c r="E288">
        <v>151</v>
      </c>
      <c r="F288" s="130" t="s">
        <v>5</v>
      </c>
      <c r="G288" s="131" t="s">
        <v>706</v>
      </c>
      <c r="H288" s="130"/>
    </row>
    <row r="289" spans="4:8" x14ac:dyDescent="0.25">
      <c r="D289" t="str">
        <f t="shared" si="7"/>
        <v>152NEOENERGIA COELBA</v>
      </c>
      <c r="E289">
        <v>152</v>
      </c>
      <c r="F289" s="130" t="s">
        <v>5</v>
      </c>
      <c r="G289" s="131" t="s">
        <v>772</v>
      </c>
      <c r="H289" s="130"/>
    </row>
    <row r="290" spans="4:8" x14ac:dyDescent="0.25">
      <c r="D290" t="str">
        <f t="shared" si="7"/>
        <v>153NEOENERGIA COELBA</v>
      </c>
      <c r="E290">
        <v>153</v>
      </c>
      <c r="F290" s="130" t="s">
        <v>5</v>
      </c>
      <c r="G290" s="131" t="s">
        <v>773</v>
      </c>
      <c r="H290" s="130"/>
    </row>
    <row r="291" spans="4:8" x14ac:dyDescent="0.25">
      <c r="D291" t="str">
        <f t="shared" si="7"/>
        <v>154NEOENERGIA COELBA</v>
      </c>
      <c r="E291">
        <v>154</v>
      </c>
      <c r="F291" s="130" t="s">
        <v>5</v>
      </c>
      <c r="G291" s="131" t="s">
        <v>774</v>
      </c>
      <c r="H291" s="130"/>
    </row>
    <row r="292" spans="4:8" x14ac:dyDescent="0.25">
      <c r="D292" t="str">
        <f t="shared" si="7"/>
        <v>155NEOENERGIA COELBA</v>
      </c>
      <c r="E292">
        <v>155</v>
      </c>
      <c r="F292" s="130" t="s">
        <v>5</v>
      </c>
      <c r="G292" s="131" t="s">
        <v>775</v>
      </c>
      <c r="H292" s="130"/>
    </row>
    <row r="293" spans="4:8" x14ac:dyDescent="0.25">
      <c r="D293" t="str">
        <f t="shared" si="7"/>
        <v>156NEOENERGIA COELBA</v>
      </c>
      <c r="E293">
        <v>156</v>
      </c>
      <c r="F293" s="130" t="s">
        <v>5</v>
      </c>
      <c r="G293" s="131" t="s">
        <v>776</v>
      </c>
      <c r="H293" s="130"/>
    </row>
    <row r="294" spans="4:8" x14ac:dyDescent="0.25">
      <c r="D294" t="str">
        <f t="shared" si="7"/>
        <v>157NEOENERGIA COELBA</v>
      </c>
      <c r="E294">
        <v>157</v>
      </c>
      <c r="F294" s="130" t="s">
        <v>5</v>
      </c>
      <c r="G294" s="131" t="s">
        <v>777</v>
      </c>
      <c r="H294" s="130"/>
    </row>
    <row r="295" spans="4:8" x14ac:dyDescent="0.25">
      <c r="D295" t="str">
        <f t="shared" si="7"/>
        <v>158NEOENERGIA COELBA</v>
      </c>
      <c r="E295">
        <v>158</v>
      </c>
      <c r="F295" s="130" t="s">
        <v>5</v>
      </c>
      <c r="G295" s="131" t="s">
        <v>711</v>
      </c>
      <c r="H295" s="130"/>
    </row>
    <row r="296" spans="4:8" x14ac:dyDescent="0.25">
      <c r="D296" t="str">
        <f t="shared" si="7"/>
        <v>159NEOENERGIA COELBA</v>
      </c>
      <c r="E296">
        <v>159</v>
      </c>
      <c r="F296" s="130" t="s">
        <v>5</v>
      </c>
      <c r="G296" s="131" t="s">
        <v>778</v>
      </c>
      <c r="H296" s="130"/>
    </row>
    <row r="297" spans="4:8" x14ac:dyDescent="0.25">
      <c r="D297" t="str">
        <f t="shared" si="7"/>
        <v>160NEOENERGIA COELBA</v>
      </c>
      <c r="E297">
        <v>160</v>
      </c>
      <c r="F297" s="130" t="s">
        <v>5</v>
      </c>
      <c r="G297" s="131" t="s">
        <v>779</v>
      </c>
      <c r="H297" s="130"/>
    </row>
    <row r="298" spans="4:8" x14ac:dyDescent="0.25">
      <c r="D298" t="str">
        <f t="shared" si="7"/>
        <v>161NEOENERGIA COELBA</v>
      </c>
      <c r="E298">
        <v>161</v>
      </c>
      <c r="F298" s="130" t="s">
        <v>5</v>
      </c>
      <c r="G298" s="131" t="s">
        <v>780</v>
      </c>
      <c r="H298" s="130"/>
    </row>
    <row r="299" spans="4:8" x14ac:dyDescent="0.25">
      <c r="D299" t="str">
        <f t="shared" si="7"/>
        <v>162NEOENERGIA COELBA</v>
      </c>
      <c r="E299">
        <v>162</v>
      </c>
      <c r="F299" s="130" t="s">
        <v>5</v>
      </c>
      <c r="G299" s="131" t="s">
        <v>781</v>
      </c>
      <c r="H299" s="130"/>
    </row>
    <row r="300" spans="4:8" x14ac:dyDescent="0.25">
      <c r="D300" t="str">
        <f t="shared" si="7"/>
        <v>163NEOENERGIA COELBA</v>
      </c>
      <c r="E300">
        <v>163</v>
      </c>
      <c r="F300" s="130" t="s">
        <v>5</v>
      </c>
      <c r="G300" s="131" t="s">
        <v>782</v>
      </c>
      <c r="H300" s="130"/>
    </row>
    <row r="301" spans="4:8" x14ac:dyDescent="0.25">
      <c r="D301" t="str">
        <f t="shared" si="7"/>
        <v>1NEOENERGIA COSERN</v>
      </c>
      <c r="E301">
        <v>1</v>
      </c>
      <c r="F301" s="130" t="s">
        <v>571</v>
      </c>
      <c r="G301" s="131" t="s">
        <v>569</v>
      </c>
      <c r="H301" s="130"/>
    </row>
    <row r="302" spans="4:8" x14ac:dyDescent="0.25">
      <c r="D302" t="str">
        <f t="shared" si="7"/>
        <v>2NEOENERGIA COSERN</v>
      </c>
      <c r="E302">
        <v>2</v>
      </c>
      <c r="F302" s="130" t="s">
        <v>571</v>
      </c>
      <c r="G302" s="131" t="s">
        <v>570</v>
      </c>
      <c r="H302" s="130"/>
    </row>
    <row r="303" spans="4:8" x14ac:dyDescent="0.25">
      <c r="D303" t="str">
        <f t="shared" si="7"/>
        <v>3NEOENERGIA COSERN</v>
      </c>
      <c r="E303">
        <v>3</v>
      </c>
      <c r="F303" s="130" t="s">
        <v>571</v>
      </c>
      <c r="G303" s="131" t="s">
        <v>783</v>
      </c>
      <c r="H303" s="130"/>
    </row>
    <row r="304" spans="4:8" x14ac:dyDescent="0.25">
      <c r="D304" t="str">
        <f t="shared" si="7"/>
        <v>4NEOENERGIA COSERN</v>
      </c>
      <c r="E304">
        <v>4</v>
      </c>
      <c r="F304" s="130" t="s">
        <v>571</v>
      </c>
      <c r="G304" s="131" t="s">
        <v>576</v>
      </c>
      <c r="H304" s="130"/>
    </row>
    <row r="305" spans="4:8" x14ac:dyDescent="0.25">
      <c r="D305" t="str">
        <f t="shared" si="7"/>
        <v>5NEOENERGIA COSERN</v>
      </c>
      <c r="E305">
        <v>5</v>
      </c>
      <c r="F305" s="130" t="s">
        <v>571</v>
      </c>
      <c r="G305" s="131" t="s">
        <v>578</v>
      </c>
      <c r="H305" s="130"/>
    </row>
    <row r="306" spans="4:8" x14ac:dyDescent="0.25">
      <c r="D306" t="str">
        <f t="shared" si="7"/>
        <v>6NEOENERGIA COSERN</v>
      </c>
      <c r="E306">
        <v>6</v>
      </c>
      <c r="F306" s="130" t="s">
        <v>571</v>
      </c>
      <c r="G306" s="131" t="s">
        <v>580</v>
      </c>
      <c r="H306" s="130"/>
    </row>
    <row r="307" spans="4:8" x14ac:dyDescent="0.25">
      <c r="D307" t="str">
        <f t="shared" si="7"/>
        <v>7NEOENERGIA COSERN</v>
      </c>
      <c r="E307">
        <v>7</v>
      </c>
      <c r="F307" s="130" t="s">
        <v>571</v>
      </c>
      <c r="G307" s="131" t="s">
        <v>784</v>
      </c>
      <c r="H307" s="130"/>
    </row>
    <row r="308" spans="4:8" x14ac:dyDescent="0.25">
      <c r="D308" t="str">
        <f t="shared" si="7"/>
        <v>8NEOENERGIA COSERN</v>
      </c>
      <c r="E308">
        <v>8</v>
      </c>
      <c r="F308" s="130" t="s">
        <v>571</v>
      </c>
      <c r="G308" s="131" t="s">
        <v>582</v>
      </c>
      <c r="H308" s="130"/>
    </row>
    <row r="309" spans="4:8" x14ac:dyDescent="0.25">
      <c r="D309" t="str">
        <f t="shared" si="7"/>
        <v>9NEOENERGIA COSERN</v>
      </c>
      <c r="E309">
        <v>9</v>
      </c>
      <c r="F309" s="130" t="s">
        <v>571</v>
      </c>
      <c r="G309" s="131" t="s">
        <v>584</v>
      </c>
      <c r="H309" s="130"/>
    </row>
    <row r="310" spans="4:8" x14ac:dyDescent="0.25">
      <c r="D310" t="str">
        <f t="shared" si="7"/>
        <v>10NEOENERGIA COSERN</v>
      </c>
      <c r="E310">
        <v>10</v>
      </c>
      <c r="F310" s="130" t="s">
        <v>571</v>
      </c>
      <c r="G310" s="131" t="s">
        <v>586</v>
      </c>
      <c r="H310" s="130"/>
    </row>
    <row r="311" spans="4:8" x14ac:dyDescent="0.25">
      <c r="D311" t="str">
        <f t="shared" si="7"/>
        <v>11NEOENERGIA COSERN</v>
      </c>
      <c r="E311">
        <v>11</v>
      </c>
      <c r="F311" s="130" t="s">
        <v>571</v>
      </c>
      <c r="G311" s="131" t="s">
        <v>785</v>
      </c>
      <c r="H311" s="130"/>
    </row>
    <row r="312" spans="4:8" x14ac:dyDescent="0.25">
      <c r="D312" t="str">
        <f t="shared" si="7"/>
        <v>12NEOENERGIA COSERN</v>
      </c>
      <c r="E312">
        <v>12</v>
      </c>
      <c r="F312" s="130" t="s">
        <v>571</v>
      </c>
      <c r="G312" s="131" t="s">
        <v>590</v>
      </c>
      <c r="H312" s="130"/>
    </row>
    <row r="313" spans="4:8" x14ac:dyDescent="0.25">
      <c r="D313" t="str">
        <f t="shared" si="7"/>
        <v>13NEOENERGIA COSERN</v>
      </c>
      <c r="E313">
        <v>13</v>
      </c>
      <c r="F313" s="130" t="s">
        <v>571</v>
      </c>
      <c r="G313" s="131" t="s">
        <v>592</v>
      </c>
      <c r="H313" s="130"/>
    </row>
    <row r="314" spans="4:8" x14ac:dyDescent="0.25">
      <c r="D314" t="str">
        <f t="shared" si="7"/>
        <v>14NEOENERGIA COSERN</v>
      </c>
      <c r="E314">
        <v>14</v>
      </c>
      <c r="F314" s="130" t="s">
        <v>571</v>
      </c>
      <c r="G314" s="131" t="s">
        <v>719</v>
      </c>
      <c r="H314" s="130"/>
    </row>
    <row r="315" spans="4:8" x14ac:dyDescent="0.25">
      <c r="D315" t="str">
        <f t="shared" si="7"/>
        <v>15NEOENERGIA COSERN</v>
      </c>
      <c r="E315">
        <v>15</v>
      </c>
      <c r="F315" s="130" t="s">
        <v>571</v>
      </c>
      <c r="G315" s="131" t="s">
        <v>598</v>
      </c>
      <c r="H315" s="130"/>
    </row>
    <row r="316" spans="4:8" x14ac:dyDescent="0.25">
      <c r="D316" t="str">
        <f t="shared" si="7"/>
        <v>16NEOENERGIA COSERN</v>
      </c>
      <c r="E316">
        <v>16</v>
      </c>
      <c r="F316" s="130" t="s">
        <v>571</v>
      </c>
      <c r="G316" s="131" t="s">
        <v>601</v>
      </c>
      <c r="H316" s="130"/>
    </row>
    <row r="317" spans="4:8" x14ac:dyDescent="0.25">
      <c r="D317" t="str">
        <f t="shared" si="7"/>
        <v>17NEOENERGIA COSERN</v>
      </c>
      <c r="E317">
        <v>17</v>
      </c>
      <c r="F317" s="130" t="s">
        <v>571</v>
      </c>
      <c r="G317" s="131" t="s">
        <v>602</v>
      </c>
      <c r="H317" s="130"/>
    </row>
    <row r="318" spans="4:8" x14ac:dyDescent="0.25">
      <c r="D318" t="str">
        <f t="shared" si="7"/>
        <v>18NEOENERGIA COSERN</v>
      </c>
      <c r="E318">
        <v>18</v>
      </c>
      <c r="F318" s="130" t="s">
        <v>571</v>
      </c>
      <c r="G318" s="131" t="s">
        <v>603</v>
      </c>
      <c r="H318" s="130"/>
    </row>
    <row r="319" spans="4:8" x14ac:dyDescent="0.25">
      <c r="D319" t="str">
        <f t="shared" si="7"/>
        <v>19NEOENERGIA COSERN</v>
      </c>
      <c r="E319">
        <v>19</v>
      </c>
      <c r="F319" s="130" t="s">
        <v>571</v>
      </c>
      <c r="G319" s="131" t="s">
        <v>605</v>
      </c>
      <c r="H319" s="130"/>
    </row>
    <row r="320" spans="4:8" x14ac:dyDescent="0.25">
      <c r="D320" t="str">
        <f t="shared" si="7"/>
        <v>20NEOENERGIA COSERN</v>
      </c>
      <c r="E320">
        <v>20</v>
      </c>
      <c r="F320" s="130" t="s">
        <v>571</v>
      </c>
      <c r="G320" s="131" t="s">
        <v>607</v>
      </c>
      <c r="H320" s="130"/>
    </row>
    <row r="321" spans="4:8" x14ac:dyDescent="0.25">
      <c r="D321" t="str">
        <f t="shared" si="7"/>
        <v>21NEOENERGIA COSERN</v>
      </c>
      <c r="E321">
        <v>21</v>
      </c>
      <c r="F321" s="130" t="s">
        <v>571</v>
      </c>
      <c r="G321" s="131" t="s">
        <v>608</v>
      </c>
      <c r="H321" s="130"/>
    </row>
    <row r="322" spans="4:8" x14ac:dyDescent="0.25">
      <c r="D322" t="str">
        <f t="shared" si="7"/>
        <v>22NEOENERGIA COSERN</v>
      </c>
      <c r="E322">
        <v>22</v>
      </c>
      <c r="F322" s="130" t="s">
        <v>571</v>
      </c>
      <c r="G322" s="131" t="s">
        <v>611</v>
      </c>
      <c r="H322" s="130"/>
    </row>
    <row r="323" spans="4:8" x14ac:dyDescent="0.25">
      <c r="D323" t="str">
        <f t="shared" ref="D323:D386" si="8">E323&amp;F323</f>
        <v>23NEOENERGIA COSERN</v>
      </c>
      <c r="E323">
        <v>23</v>
      </c>
      <c r="F323" s="130" t="s">
        <v>571</v>
      </c>
      <c r="G323" s="131" t="s">
        <v>615</v>
      </c>
      <c r="H323" s="130"/>
    </row>
    <row r="324" spans="4:8" x14ac:dyDescent="0.25">
      <c r="D324" t="str">
        <f t="shared" si="8"/>
        <v>24NEOENERGIA COSERN</v>
      </c>
      <c r="E324">
        <v>24</v>
      </c>
      <c r="F324" s="130" t="s">
        <v>571</v>
      </c>
      <c r="G324" s="131" t="s">
        <v>617</v>
      </c>
      <c r="H324" s="130"/>
    </row>
    <row r="325" spans="4:8" x14ac:dyDescent="0.25">
      <c r="D325" t="str">
        <f t="shared" si="8"/>
        <v>25NEOENERGIA COSERN</v>
      </c>
      <c r="E325">
        <v>25</v>
      </c>
      <c r="F325" s="130" t="s">
        <v>571</v>
      </c>
      <c r="G325" s="131" t="s">
        <v>722</v>
      </c>
      <c r="H325" s="130"/>
    </row>
    <row r="326" spans="4:8" x14ac:dyDescent="0.25">
      <c r="D326" t="str">
        <f t="shared" si="8"/>
        <v>26NEOENERGIA COSERN</v>
      </c>
      <c r="E326">
        <v>26</v>
      </c>
      <c r="F326" s="130" t="s">
        <v>571</v>
      </c>
      <c r="G326" s="131" t="s">
        <v>619</v>
      </c>
      <c r="H326" s="130"/>
    </row>
    <row r="327" spans="4:8" x14ac:dyDescent="0.25">
      <c r="D327" t="str">
        <f t="shared" si="8"/>
        <v>27NEOENERGIA COSERN</v>
      </c>
      <c r="E327">
        <v>27</v>
      </c>
      <c r="F327" s="130" t="s">
        <v>571</v>
      </c>
      <c r="G327" s="131" t="s">
        <v>620</v>
      </c>
      <c r="H327" s="130"/>
    </row>
    <row r="328" spans="4:8" x14ac:dyDescent="0.25">
      <c r="D328" t="str">
        <f t="shared" si="8"/>
        <v>28NEOENERGIA COSERN</v>
      </c>
      <c r="E328">
        <v>28</v>
      </c>
      <c r="F328" s="130" t="s">
        <v>571</v>
      </c>
      <c r="G328" s="131" t="s">
        <v>622</v>
      </c>
      <c r="H328" s="130"/>
    </row>
    <row r="329" spans="4:8" x14ac:dyDescent="0.25">
      <c r="D329" t="str">
        <f t="shared" si="8"/>
        <v>29NEOENERGIA COSERN</v>
      </c>
      <c r="E329">
        <v>29</v>
      </c>
      <c r="F329" s="130" t="s">
        <v>571</v>
      </c>
      <c r="G329" s="131" t="s">
        <v>624</v>
      </c>
      <c r="H329" s="130"/>
    </row>
    <row r="330" spans="4:8" x14ac:dyDescent="0.25">
      <c r="D330" t="str">
        <f t="shared" si="8"/>
        <v>30NEOENERGIA COSERN</v>
      </c>
      <c r="E330">
        <v>30</v>
      </c>
      <c r="F330" s="130" t="s">
        <v>571</v>
      </c>
      <c r="G330" s="131" t="s">
        <v>625</v>
      </c>
      <c r="H330" s="130"/>
    </row>
    <row r="331" spans="4:8" x14ac:dyDescent="0.25">
      <c r="D331" t="str">
        <f t="shared" si="8"/>
        <v>31NEOENERGIA COSERN</v>
      </c>
      <c r="E331">
        <v>31</v>
      </c>
      <c r="F331" s="130" t="s">
        <v>571</v>
      </c>
      <c r="G331" s="131" t="s">
        <v>626</v>
      </c>
      <c r="H331" s="130"/>
    </row>
    <row r="332" spans="4:8" x14ac:dyDescent="0.25">
      <c r="D332" t="str">
        <f t="shared" si="8"/>
        <v>32NEOENERGIA COSERN</v>
      </c>
      <c r="E332">
        <v>32</v>
      </c>
      <c r="F332" s="130" t="s">
        <v>571</v>
      </c>
      <c r="G332" s="131" t="s">
        <v>723</v>
      </c>
      <c r="H332" s="130"/>
    </row>
    <row r="333" spans="4:8" x14ac:dyDescent="0.25">
      <c r="D333" t="str">
        <f t="shared" si="8"/>
        <v>33NEOENERGIA COSERN</v>
      </c>
      <c r="E333">
        <v>33</v>
      </c>
      <c r="F333" s="130" t="s">
        <v>571</v>
      </c>
      <c r="G333" s="131" t="s">
        <v>631</v>
      </c>
      <c r="H333" s="130"/>
    </row>
    <row r="334" spans="4:8" x14ac:dyDescent="0.25">
      <c r="D334" t="str">
        <f t="shared" si="8"/>
        <v>34NEOENERGIA COSERN</v>
      </c>
      <c r="E334">
        <v>34</v>
      </c>
      <c r="F334" s="130" t="s">
        <v>571</v>
      </c>
      <c r="G334" s="131" t="s">
        <v>636</v>
      </c>
      <c r="H334" s="130"/>
    </row>
    <row r="335" spans="4:8" x14ac:dyDescent="0.25">
      <c r="D335" t="str">
        <f t="shared" si="8"/>
        <v>35NEOENERGIA COSERN</v>
      </c>
      <c r="E335">
        <v>35</v>
      </c>
      <c r="F335" s="130" t="s">
        <v>571</v>
      </c>
      <c r="G335" s="131" t="s">
        <v>638</v>
      </c>
      <c r="H335" s="130"/>
    </row>
    <row r="336" spans="4:8" x14ac:dyDescent="0.25">
      <c r="D336" t="str">
        <f t="shared" si="8"/>
        <v>36NEOENERGIA COSERN</v>
      </c>
      <c r="E336">
        <v>36</v>
      </c>
      <c r="F336" s="130" t="s">
        <v>571</v>
      </c>
      <c r="G336" s="131" t="s">
        <v>639</v>
      </c>
      <c r="H336" s="130"/>
    </row>
    <row r="337" spans="4:8" x14ac:dyDescent="0.25">
      <c r="D337" t="str">
        <f t="shared" si="8"/>
        <v>37NEOENERGIA COSERN</v>
      </c>
      <c r="E337">
        <v>37</v>
      </c>
      <c r="F337" s="130" t="s">
        <v>571</v>
      </c>
      <c r="G337" s="131" t="s">
        <v>724</v>
      </c>
      <c r="H337" s="130"/>
    </row>
    <row r="338" spans="4:8" x14ac:dyDescent="0.25">
      <c r="D338" t="str">
        <f t="shared" si="8"/>
        <v>38NEOENERGIA COSERN</v>
      </c>
      <c r="E338">
        <v>38</v>
      </c>
      <c r="F338" s="130" t="s">
        <v>571</v>
      </c>
      <c r="G338" s="131" t="s">
        <v>640</v>
      </c>
      <c r="H338" s="130"/>
    </row>
    <row r="339" spans="4:8" x14ac:dyDescent="0.25">
      <c r="D339" t="str">
        <f t="shared" si="8"/>
        <v>39NEOENERGIA COSERN</v>
      </c>
      <c r="E339">
        <v>39</v>
      </c>
      <c r="F339" s="130" t="s">
        <v>571</v>
      </c>
      <c r="G339" s="131" t="s">
        <v>641</v>
      </c>
      <c r="H339" s="130"/>
    </row>
    <row r="340" spans="4:8" x14ac:dyDescent="0.25">
      <c r="D340" t="str">
        <f t="shared" si="8"/>
        <v>40NEOENERGIA COSERN</v>
      </c>
      <c r="E340">
        <v>40</v>
      </c>
      <c r="F340" s="130" t="s">
        <v>571</v>
      </c>
      <c r="G340" s="131" t="s">
        <v>726</v>
      </c>
      <c r="H340" s="130"/>
    </row>
    <row r="341" spans="4:8" x14ac:dyDescent="0.25">
      <c r="D341" t="str">
        <f t="shared" si="8"/>
        <v>41NEOENERGIA COSERN</v>
      </c>
      <c r="E341">
        <v>41</v>
      </c>
      <c r="F341" s="130" t="s">
        <v>571</v>
      </c>
      <c r="G341" s="131" t="s">
        <v>642</v>
      </c>
      <c r="H341" s="130"/>
    </row>
    <row r="342" spans="4:8" x14ac:dyDescent="0.25">
      <c r="D342" t="str">
        <f t="shared" si="8"/>
        <v>42NEOENERGIA COSERN</v>
      </c>
      <c r="E342">
        <v>42</v>
      </c>
      <c r="F342" s="130" t="s">
        <v>571</v>
      </c>
      <c r="G342" s="131" t="s">
        <v>786</v>
      </c>
      <c r="H342" s="130"/>
    </row>
    <row r="343" spans="4:8" x14ac:dyDescent="0.25">
      <c r="D343" t="str">
        <f t="shared" si="8"/>
        <v>43NEOENERGIA COSERN</v>
      </c>
      <c r="E343">
        <v>43</v>
      </c>
      <c r="F343" s="130" t="s">
        <v>571</v>
      </c>
      <c r="G343" s="131" t="s">
        <v>644</v>
      </c>
      <c r="H343" s="130"/>
    </row>
    <row r="344" spans="4:8" x14ac:dyDescent="0.25">
      <c r="D344" t="str">
        <f t="shared" si="8"/>
        <v>44NEOENERGIA COSERN</v>
      </c>
      <c r="E344">
        <v>44</v>
      </c>
      <c r="F344" s="130" t="s">
        <v>571</v>
      </c>
      <c r="G344" s="131" t="s">
        <v>645</v>
      </c>
      <c r="H344" s="130"/>
    </row>
    <row r="345" spans="4:8" x14ac:dyDescent="0.25">
      <c r="D345" t="str">
        <f t="shared" si="8"/>
        <v>45NEOENERGIA COSERN</v>
      </c>
      <c r="E345">
        <v>45</v>
      </c>
      <c r="F345" s="130" t="s">
        <v>571</v>
      </c>
      <c r="G345" s="131" t="s">
        <v>647</v>
      </c>
      <c r="H345" s="130"/>
    </row>
    <row r="346" spans="4:8" x14ac:dyDescent="0.25">
      <c r="D346" t="str">
        <f t="shared" si="8"/>
        <v>46NEOENERGIA COSERN</v>
      </c>
      <c r="E346">
        <v>46</v>
      </c>
      <c r="F346" s="130" t="s">
        <v>571</v>
      </c>
      <c r="G346" s="131" t="s">
        <v>787</v>
      </c>
      <c r="H346" s="130"/>
    </row>
    <row r="347" spans="4:8" x14ac:dyDescent="0.25">
      <c r="D347" t="str">
        <f t="shared" si="8"/>
        <v>47NEOENERGIA COSERN</v>
      </c>
      <c r="E347">
        <v>47</v>
      </c>
      <c r="F347" s="130" t="s">
        <v>571</v>
      </c>
      <c r="G347" s="131" t="s">
        <v>650</v>
      </c>
      <c r="H347" s="130"/>
    </row>
    <row r="348" spans="4:8" x14ac:dyDescent="0.25">
      <c r="D348" t="str">
        <f t="shared" si="8"/>
        <v>48NEOENERGIA COSERN</v>
      </c>
      <c r="E348">
        <v>48</v>
      </c>
      <c r="F348" s="130" t="s">
        <v>571</v>
      </c>
      <c r="G348" s="131" t="s">
        <v>788</v>
      </c>
      <c r="H348" s="130"/>
    </row>
    <row r="349" spans="4:8" x14ac:dyDescent="0.25">
      <c r="D349" t="str">
        <f t="shared" si="8"/>
        <v>49NEOENERGIA COSERN</v>
      </c>
      <c r="E349">
        <v>49</v>
      </c>
      <c r="F349" s="130" t="s">
        <v>571</v>
      </c>
      <c r="G349" s="131" t="s">
        <v>789</v>
      </c>
      <c r="H349" s="130"/>
    </row>
    <row r="350" spans="4:8" x14ac:dyDescent="0.25">
      <c r="D350" t="str">
        <f t="shared" si="8"/>
        <v>50NEOENERGIA COSERN</v>
      </c>
      <c r="E350">
        <v>50</v>
      </c>
      <c r="F350" s="130" t="s">
        <v>571</v>
      </c>
      <c r="G350" s="131" t="s">
        <v>653</v>
      </c>
      <c r="H350" s="130"/>
    </row>
    <row r="351" spans="4:8" x14ac:dyDescent="0.25">
      <c r="D351" t="str">
        <f t="shared" si="8"/>
        <v>51NEOENERGIA COSERN</v>
      </c>
      <c r="E351">
        <v>51</v>
      </c>
      <c r="F351" s="130" t="s">
        <v>571</v>
      </c>
      <c r="G351" s="131" t="s">
        <v>790</v>
      </c>
      <c r="H351" s="130"/>
    </row>
    <row r="352" spans="4:8" x14ac:dyDescent="0.25">
      <c r="D352" t="str">
        <f t="shared" si="8"/>
        <v>52NEOENERGIA COSERN</v>
      </c>
      <c r="E352">
        <v>52</v>
      </c>
      <c r="F352" s="130" t="s">
        <v>571</v>
      </c>
      <c r="G352" s="131" t="s">
        <v>735</v>
      </c>
      <c r="H352" s="130"/>
    </row>
    <row r="353" spans="4:8" x14ac:dyDescent="0.25">
      <c r="D353" t="str">
        <f t="shared" si="8"/>
        <v>53NEOENERGIA COSERN</v>
      </c>
      <c r="E353">
        <v>53</v>
      </c>
      <c r="F353" s="130" t="s">
        <v>571</v>
      </c>
      <c r="G353" s="131" t="s">
        <v>655</v>
      </c>
      <c r="H353" s="130"/>
    </row>
    <row r="354" spans="4:8" x14ac:dyDescent="0.25">
      <c r="D354" t="str">
        <f t="shared" si="8"/>
        <v>54NEOENERGIA COSERN</v>
      </c>
      <c r="E354">
        <v>54</v>
      </c>
      <c r="F354" s="130" t="s">
        <v>571</v>
      </c>
      <c r="G354" s="131" t="s">
        <v>791</v>
      </c>
      <c r="H354" s="130"/>
    </row>
    <row r="355" spans="4:8" x14ac:dyDescent="0.25">
      <c r="D355" t="str">
        <f t="shared" si="8"/>
        <v>55NEOENERGIA COSERN</v>
      </c>
      <c r="E355">
        <v>55</v>
      </c>
      <c r="F355" s="130" t="s">
        <v>571</v>
      </c>
      <c r="G355" s="131" t="s">
        <v>792</v>
      </c>
      <c r="H355" s="130"/>
    </row>
    <row r="356" spans="4:8" x14ac:dyDescent="0.25">
      <c r="D356" t="str">
        <f t="shared" si="8"/>
        <v>56NEOENERGIA COSERN</v>
      </c>
      <c r="E356">
        <v>56</v>
      </c>
      <c r="F356" s="130" t="s">
        <v>571</v>
      </c>
      <c r="G356" s="131" t="s">
        <v>793</v>
      </c>
      <c r="H356" s="130"/>
    </row>
    <row r="357" spans="4:8" x14ac:dyDescent="0.25">
      <c r="D357" t="str">
        <f t="shared" si="8"/>
        <v>57NEOENERGIA COSERN</v>
      </c>
      <c r="E357">
        <v>57</v>
      </c>
      <c r="F357" s="130" t="s">
        <v>571</v>
      </c>
      <c r="G357" s="131" t="s">
        <v>663</v>
      </c>
      <c r="H357" s="130"/>
    </row>
    <row r="358" spans="4:8" x14ac:dyDescent="0.25">
      <c r="D358" t="str">
        <f t="shared" si="8"/>
        <v>58NEOENERGIA COSERN</v>
      </c>
      <c r="E358">
        <v>58</v>
      </c>
      <c r="F358" s="130" t="s">
        <v>571</v>
      </c>
      <c r="G358" s="131" t="s">
        <v>664</v>
      </c>
      <c r="H358" s="130"/>
    </row>
    <row r="359" spans="4:8" x14ac:dyDescent="0.25">
      <c r="D359" t="str">
        <f t="shared" si="8"/>
        <v>59NEOENERGIA COSERN</v>
      </c>
      <c r="E359">
        <v>59</v>
      </c>
      <c r="F359" s="130" t="s">
        <v>571</v>
      </c>
      <c r="G359" s="131" t="s">
        <v>665</v>
      </c>
      <c r="H359" s="130"/>
    </row>
    <row r="360" spans="4:8" x14ac:dyDescent="0.25">
      <c r="D360" t="str">
        <f t="shared" si="8"/>
        <v>60NEOENERGIA COSERN</v>
      </c>
      <c r="E360">
        <v>60</v>
      </c>
      <c r="F360" s="130" t="s">
        <v>571</v>
      </c>
      <c r="G360" s="131" t="s">
        <v>667</v>
      </c>
      <c r="H360" s="130"/>
    </row>
    <row r="361" spans="4:8" x14ac:dyDescent="0.25">
      <c r="D361" t="str">
        <f t="shared" si="8"/>
        <v>61NEOENERGIA COSERN</v>
      </c>
      <c r="E361">
        <v>61</v>
      </c>
      <c r="F361" s="130" t="s">
        <v>571</v>
      </c>
      <c r="G361" s="131" t="s">
        <v>794</v>
      </c>
      <c r="H361" s="130"/>
    </row>
    <row r="362" spans="4:8" x14ac:dyDescent="0.25">
      <c r="D362" t="str">
        <f t="shared" si="8"/>
        <v>62NEOENERGIA COSERN</v>
      </c>
      <c r="E362">
        <v>62</v>
      </c>
      <c r="F362" s="130" t="s">
        <v>571</v>
      </c>
      <c r="G362" s="131" t="s">
        <v>795</v>
      </c>
      <c r="H362" s="130"/>
    </row>
    <row r="363" spans="4:8" x14ac:dyDescent="0.25">
      <c r="D363" t="str">
        <f t="shared" si="8"/>
        <v>63NEOENERGIA COSERN</v>
      </c>
      <c r="E363">
        <v>63</v>
      </c>
      <c r="F363" s="130" t="s">
        <v>571</v>
      </c>
      <c r="G363" s="131" t="s">
        <v>670</v>
      </c>
      <c r="H363" s="130"/>
    </row>
    <row r="364" spans="4:8" x14ac:dyDescent="0.25">
      <c r="D364" t="str">
        <f t="shared" si="8"/>
        <v>64NEOENERGIA COSERN</v>
      </c>
      <c r="E364">
        <v>64</v>
      </c>
      <c r="F364" s="130" t="s">
        <v>571</v>
      </c>
      <c r="G364" s="131" t="s">
        <v>671</v>
      </c>
      <c r="H364" s="130"/>
    </row>
    <row r="365" spans="4:8" x14ac:dyDescent="0.25">
      <c r="D365" t="str">
        <f t="shared" si="8"/>
        <v>65NEOENERGIA COSERN</v>
      </c>
      <c r="E365">
        <v>65</v>
      </c>
      <c r="F365" s="130" t="s">
        <v>571</v>
      </c>
      <c r="G365" s="131" t="s">
        <v>796</v>
      </c>
      <c r="H365" s="130"/>
    </row>
    <row r="366" spans="4:8" x14ac:dyDescent="0.25">
      <c r="D366" t="str">
        <f t="shared" si="8"/>
        <v>66NEOENERGIA COSERN</v>
      </c>
      <c r="E366">
        <v>66</v>
      </c>
      <c r="F366" s="130" t="s">
        <v>571</v>
      </c>
      <c r="G366" s="131" t="s">
        <v>674</v>
      </c>
      <c r="H366" s="130"/>
    </row>
    <row r="367" spans="4:8" x14ac:dyDescent="0.25">
      <c r="D367" t="str">
        <f t="shared" si="8"/>
        <v>67NEOENERGIA COSERN</v>
      </c>
      <c r="E367">
        <v>67</v>
      </c>
      <c r="F367" s="130" t="s">
        <v>571</v>
      </c>
      <c r="G367" s="131" t="s">
        <v>797</v>
      </c>
      <c r="H367" s="130"/>
    </row>
    <row r="368" spans="4:8" x14ac:dyDescent="0.25">
      <c r="D368" t="str">
        <f t="shared" si="8"/>
        <v>68NEOENERGIA COSERN</v>
      </c>
      <c r="E368">
        <v>68</v>
      </c>
      <c r="F368" s="130" t="s">
        <v>571</v>
      </c>
      <c r="G368" s="131" t="s">
        <v>798</v>
      </c>
      <c r="H368" s="130"/>
    </row>
    <row r="369" spans="4:8" x14ac:dyDescent="0.25">
      <c r="D369" t="str">
        <f t="shared" si="8"/>
        <v>69NEOENERGIA COSERN</v>
      </c>
      <c r="E369">
        <v>69</v>
      </c>
      <c r="F369" s="130" t="s">
        <v>571</v>
      </c>
      <c r="G369" s="131" t="s">
        <v>677</v>
      </c>
      <c r="H369" s="130"/>
    </row>
    <row r="370" spans="4:8" x14ac:dyDescent="0.25">
      <c r="D370" t="str">
        <f t="shared" si="8"/>
        <v>70NEOENERGIA COSERN</v>
      </c>
      <c r="E370">
        <v>70</v>
      </c>
      <c r="F370" s="130" t="s">
        <v>571</v>
      </c>
      <c r="G370" s="131" t="s">
        <v>680</v>
      </c>
      <c r="H370" s="130"/>
    </row>
    <row r="371" spans="4:8" x14ac:dyDescent="0.25">
      <c r="D371" t="str">
        <f t="shared" si="8"/>
        <v>71NEOENERGIA COSERN</v>
      </c>
      <c r="E371">
        <v>71</v>
      </c>
      <c r="F371" s="130" t="s">
        <v>571</v>
      </c>
      <c r="G371" s="131" t="s">
        <v>799</v>
      </c>
      <c r="H371" s="130"/>
    </row>
    <row r="372" spans="4:8" x14ac:dyDescent="0.25">
      <c r="D372" t="str">
        <f t="shared" si="8"/>
        <v>72NEOENERGIA COSERN</v>
      </c>
      <c r="E372">
        <v>72</v>
      </c>
      <c r="F372" s="130" t="s">
        <v>571</v>
      </c>
      <c r="G372" s="131" t="s">
        <v>682</v>
      </c>
      <c r="H372" s="130"/>
    </row>
    <row r="373" spans="4:8" x14ac:dyDescent="0.25">
      <c r="D373" t="str">
        <f t="shared" si="8"/>
        <v>73NEOENERGIA COSERN</v>
      </c>
      <c r="E373">
        <v>73</v>
      </c>
      <c r="F373" s="130" t="s">
        <v>571</v>
      </c>
      <c r="G373" s="131" t="s">
        <v>683</v>
      </c>
      <c r="H373" s="130"/>
    </row>
    <row r="374" spans="4:8" x14ac:dyDescent="0.25">
      <c r="D374" t="str">
        <f t="shared" si="8"/>
        <v>74NEOENERGIA COSERN</v>
      </c>
      <c r="E374">
        <v>74</v>
      </c>
      <c r="F374" s="130" t="s">
        <v>571</v>
      </c>
      <c r="G374" s="131" t="s">
        <v>684</v>
      </c>
      <c r="H374" s="130"/>
    </row>
    <row r="375" spans="4:8" x14ac:dyDescent="0.25">
      <c r="D375" t="str">
        <f t="shared" si="8"/>
        <v>75NEOENERGIA COSERN</v>
      </c>
      <c r="E375">
        <v>75</v>
      </c>
      <c r="F375" s="130" t="s">
        <v>571</v>
      </c>
      <c r="G375" s="131" t="s">
        <v>685</v>
      </c>
      <c r="H375" s="130"/>
    </row>
    <row r="376" spans="4:8" x14ac:dyDescent="0.25">
      <c r="D376" t="str">
        <f t="shared" si="8"/>
        <v>76NEOENERGIA COSERN</v>
      </c>
      <c r="E376">
        <v>76</v>
      </c>
      <c r="F376" s="130" t="s">
        <v>571</v>
      </c>
      <c r="G376" s="131" t="s">
        <v>686</v>
      </c>
      <c r="H376" s="130"/>
    </row>
    <row r="377" spans="4:8" x14ac:dyDescent="0.25">
      <c r="D377" t="str">
        <f t="shared" si="8"/>
        <v>77NEOENERGIA COSERN</v>
      </c>
      <c r="E377">
        <v>77</v>
      </c>
      <c r="F377" s="130" t="s">
        <v>571</v>
      </c>
      <c r="G377" s="131" t="s">
        <v>687</v>
      </c>
      <c r="H377" s="130"/>
    </row>
    <row r="378" spans="4:8" x14ac:dyDescent="0.25">
      <c r="D378" t="str">
        <f t="shared" si="8"/>
        <v>78NEOENERGIA COSERN</v>
      </c>
      <c r="E378">
        <v>78</v>
      </c>
      <c r="F378" s="130" t="s">
        <v>571</v>
      </c>
      <c r="G378" s="131" t="s">
        <v>690</v>
      </c>
      <c r="H378" s="130"/>
    </row>
    <row r="379" spans="4:8" x14ac:dyDescent="0.25">
      <c r="D379" t="str">
        <f t="shared" si="8"/>
        <v>79NEOENERGIA COSERN</v>
      </c>
      <c r="E379">
        <v>79</v>
      </c>
      <c r="F379" s="130" t="s">
        <v>571</v>
      </c>
      <c r="G379" s="131" t="s">
        <v>692</v>
      </c>
      <c r="H379" s="130"/>
    </row>
    <row r="380" spans="4:8" x14ac:dyDescent="0.25">
      <c r="D380" t="str">
        <f t="shared" si="8"/>
        <v>80NEOENERGIA COSERN</v>
      </c>
      <c r="E380">
        <v>80</v>
      </c>
      <c r="F380" s="130" t="s">
        <v>571</v>
      </c>
      <c r="G380" s="131" t="s">
        <v>695</v>
      </c>
      <c r="H380" s="130"/>
    </row>
    <row r="381" spans="4:8" x14ac:dyDescent="0.25">
      <c r="D381" t="str">
        <f t="shared" si="8"/>
        <v>81NEOENERGIA COSERN</v>
      </c>
      <c r="E381">
        <v>81</v>
      </c>
      <c r="F381" s="130" t="s">
        <v>571</v>
      </c>
      <c r="G381" s="131" t="s">
        <v>800</v>
      </c>
      <c r="H381" s="130"/>
    </row>
    <row r="382" spans="4:8" x14ac:dyDescent="0.25">
      <c r="D382" t="str">
        <f t="shared" si="8"/>
        <v>82NEOENERGIA COSERN</v>
      </c>
      <c r="E382">
        <v>82</v>
      </c>
      <c r="F382" s="130" t="s">
        <v>571</v>
      </c>
      <c r="G382" s="131" t="s">
        <v>801</v>
      </c>
      <c r="H382" s="130"/>
    </row>
    <row r="383" spans="4:8" x14ac:dyDescent="0.25">
      <c r="D383" t="str">
        <f t="shared" si="8"/>
        <v>83NEOENERGIA COSERN</v>
      </c>
      <c r="E383">
        <v>83</v>
      </c>
      <c r="F383" s="130" t="s">
        <v>571</v>
      </c>
      <c r="G383" s="131" t="s">
        <v>699</v>
      </c>
      <c r="H383" s="130"/>
    </row>
    <row r="384" spans="4:8" x14ac:dyDescent="0.25">
      <c r="D384" t="str">
        <f t="shared" si="8"/>
        <v>84NEOENERGIA COSERN</v>
      </c>
      <c r="E384">
        <v>84</v>
      </c>
      <c r="F384" s="130" t="s">
        <v>571</v>
      </c>
      <c r="G384" s="131" t="s">
        <v>701</v>
      </c>
      <c r="H384" s="130"/>
    </row>
    <row r="385" spans="4:8" x14ac:dyDescent="0.25">
      <c r="D385" t="str">
        <f t="shared" si="8"/>
        <v>85NEOENERGIA COSERN</v>
      </c>
      <c r="E385">
        <v>85</v>
      </c>
      <c r="F385" s="130" t="s">
        <v>571</v>
      </c>
      <c r="G385" s="131" t="s">
        <v>703</v>
      </c>
      <c r="H385" s="130"/>
    </row>
    <row r="386" spans="4:8" x14ac:dyDescent="0.25">
      <c r="D386" t="str">
        <f t="shared" si="8"/>
        <v>86NEOENERGIA COSERN</v>
      </c>
      <c r="E386">
        <v>86</v>
      </c>
      <c r="F386" s="130" t="s">
        <v>571</v>
      </c>
      <c r="G386" s="131" t="s">
        <v>704</v>
      </c>
      <c r="H386" s="130"/>
    </row>
    <row r="387" spans="4:8" x14ac:dyDescent="0.25">
      <c r="D387" t="str">
        <f t="shared" ref="D387:D450" si="9">E387&amp;F387</f>
        <v>87NEOENERGIA COSERN</v>
      </c>
      <c r="E387">
        <v>87</v>
      </c>
      <c r="F387" s="130" t="s">
        <v>571</v>
      </c>
      <c r="G387" s="131" t="s">
        <v>802</v>
      </c>
      <c r="H387" s="130"/>
    </row>
    <row r="388" spans="4:8" x14ac:dyDescent="0.25">
      <c r="D388" t="str">
        <f t="shared" si="9"/>
        <v>88NEOENERGIA COSERN</v>
      </c>
      <c r="E388">
        <v>88</v>
      </c>
      <c r="F388" s="130" t="s">
        <v>571</v>
      </c>
      <c r="G388" s="131" t="s">
        <v>706</v>
      </c>
      <c r="H388" s="130"/>
    </row>
    <row r="389" spans="4:8" x14ac:dyDescent="0.25">
      <c r="D389" t="str">
        <f t="shared" si="9"/>
        <v>89NEOENERGIA COSERN</v>
      </c>
      <c r="E389">
        <v>89</v>
      </c>
      <c r="F389" s="130" t="s">
        <v>571</v>
      </c>
      <c r="G389" s="131" t="s">
        <v>803</v>
      </c>
      <c r="H389" s="130"/>
    </row>
    <row r="390" spans="4:8" x14ac:dyDescent="0.25">
      <c r="D390" t="str">
        <f t="shared" si="9"/>
        <v>90NEOENERGIA COSERN</v>
      </c>
      <c r="E390">
        <v>90</v>
      </c>
      <c r="F390" s="130" t="s">
        <v>571</v>
      </c>
      <c r="G390" s="131" t="s">
        <v>804</v>
      </c>
      <c r="H390" s="130"/>
    </row>
    <row r="391" spans="4:8" x14ac:dyDescent="0.25">
      <c r="D391" t="str">
        <f t="shared" si="9"/>
        <v>91NEOENERGIA COSERN</v>
      </c>
      <c r="E391">
        <v>91</v>
      </c>
      <c r="F391" s="130" t="s">
        <v>571</v>
      </c>
      <c r="G391" s="131" t="s">
        <v>805</v>
      </c>
      <c r="H391" s="130"/>
    </row>
    <row r="392" spans="4:8" x14ac:dyDescent="0.25">
      <c r="D392" t="str">
        <f t="shared" si="9"/>
        <v>92NEOENERGIA COSERN</v>
      </c>
      <c r="E392">
        <v>92</v>
      </c>
      <c r="F392" s="130" t="s">
        <v>571</v>
      </c>
      <c r="G392" s="131" t="s">
        <v>711</v>
      </c>
      <c r="H392" s="130"/>
    </row>
    <row r="393" spans="4:8" x14ac:dyDescent="0.25">
      <c r="D393" t="str">
        <f t="shared" si="9"/>
        <v>93NEOENERGIA COSERN</v>
      </c>
      <c r="E393">
        <v>93</v>
      </c>
      <c r="F393" s="130" t="s">
        <v>571</v>
      </c>
      <c r="G393" s="131" t="s">
        <v>712</v>
      </c>
      <c r="H393" s="130"/>
    </row>
    <row r="394" spans="4:8" x14ac:dyDescent="0.25">
      <c r="D394" t="str">
        <f t="shared" si="9"/>
        <v>94NEOENERGIA COSERN</v>
      </c>
      <c r="E394">
        <v>94</v>
      </c>
      <c r="F394" s="130" t="s">
        <v>571</v>
      </c>
      <c r="G394" s="131" t="s">
        <v>806</v>
      </c>
      <c r="H394" s="130"/>
    </row>
    <row r="395" spans="4:8" x14ac:dyDescent="0.25">
      <c r="D395" t="str">
        <f t="shared" si="9"/>
        <v>95NEOENERGIA COSERN</v>
      </c>
      <c r="E395">
        <v>95</v>
      </c>
      <c r="F395" s="130" t="s">
        <v>571</v>
      </c>
      <c r="G395" s="131" t="s">
        <v>807</v>
      </c>
      <c r="H395" s="130"/>
    </row>
    <row r="396" spans="4:8" x14ac:dyDescent="0.25">
      <c r="D396" t="str">
        <f t="shared" si="9"/>
        <v>1NEOENERGIA ELEKTRO</v>
      </c>
      <c r="E396">
        <v>1</v>
      </c>
      <c r="F396" s="130" t="s">
        <v>585</v>
      </c>
      <c r="G396" s="131" t="s">
        <v>808</v>
      </c>
      <c r="H396" s="130"/>
    </row>
    <row r="397" spans="4:8" x14ac:dyDescent="0.25">
      <c r="D397" t="str">
        <f t="shared" si="9"/>
        <v>2NEOENERGIA ELEKTRO</v>
      </c>
      <c r="E397">
        <v>2</v>
      </c>
      <c r="F397" s="130" t="s">
        <v>585</v>
      </c>
      <c r="G397" s="131" t="s">
        <v>569</v>
      </c>
      <c r="H397" s="130"/>
    </row>
    <row r="398" spans="4:8" x14ac:dyDescent="0.25">
      <c r="D398" t="str">
        <f t="shared" si="9"/>
        <v>3NEOENERGIA ELEKTRO</v>
      </c>
      <c r="E398">
        <v>3</v>
      </c>
      <c r="F398" s="130" t="s">
        <v>585</v>
      </c>
      <c r="G398" s="131" t="s">
        <v>570</v>
      </c>
      <c r="H398" s="130"/>
    </row>
    <row r="399" spans="4:8" x14ac:dyDescent="0.25">
      <c r="D399" t="str">
        <f t="shared" si="9"/>
        <v>4NEOENERGIA ELEKTRO</v>
      </c>
      <c r="E399">
        <v>4</v>
      </c>
      <c r="F399" s="130" t="s">
        <v>585</v>
      </c>
      <c r="G399" s="131" t="s">
        <v>809</v>
      </c>
      <c r="H399" s="130"/>
    </row>
    <row r="400" spans="4:8" x14ac:dyDescent="0.25">
      <c r="D400" t="str">
        <f t="shared" si="9"/>
        <v>5NEOENERGIA ELEKTRO</v>
      </c>
      <c r="E400">
        <v>5</v>
      </c>
      <c r="F400" s="130" t="s">
        <v>585</v>
      </c>
      <c r="G400" s="131" t="s">
        <v>574</v>
      </c>
      <c r="H400" s="130"/>
    </row>
    <row r="401" spans="4:8" x14ac:dyDescent="0.25">
      <c r="D401" t="str">
        <f t="shared" si="9"/>
        <v>6NEOENERGIA ELEKTRO</v>
      </c>
      <c r="E401">
        <v>6</v>
      </c>
      <c r="F401" s="130" t="s">
        <v>585</v>
      </c>
      <c r="G401" s="131" t="s">
        <v>576</v>
      </c>
      <c r="H401" s="130"/>
    </row>
    <row r="402" spans="4:8" x14ac:dyDescent="0.25">
      <c r="D402" t="str">
        <f t="shared" si="9"/>
        <v>7NEOENERGIA ELEKTRO</v>
      </c>
      <c r="E402">
        <v>7</v>
      </c>
      <c r="F402" s="130" t="s">
        <v>585</v>
      </c>
      <c r="G402" s="131" t="s">
        <v>578</v>
      </c>
      <c r="H402" s="130"/>
    </row>
    <row r="403" spans="4:8" x14ac:dyDescent="0.25">
      <c r="D403" t="str">
        <f t="shared" si="9"/>
        <v>8NEOENERGIA ELEKTRO</v>
      </c>
      <c r="E403">
        <v>8</v>
      </c>
      <c r="F403" s="130" t="s">
        <v>585</v>
      </c>
      <c r="G403" s="131" t="s">
        <v>580</v>
      </c>
      <c r="H403" s="130"/>
    </row>
    <row r="404" spans="4:8" x14ac:dyDescent="0.25">
      <c r="D404" t="str">
        <f t="shared" si="9"/>
        <v>9NEOENERGIA ELEKTRO</v>
      </c>
      <c r="E404">
        <v>9</v>
      </c>
      <c r="F404" s="130" t="s">
        <v>585</v>
      </c>
      <c r="G404" s="131" t="s">
        <v>582</v>
      </c>
      <c r="H404" s="130"/>
    </row>
    <row r="405" spans="4:8" x14ac:dyDescent="0.25">
      <c r="D405" t="str">
        <f t="shared" si="9"/>
        <v>10NEOENERGIA ELEKTRO</v>
      </c>
      <c r="E405">
        <v>10</v>
      </c>
      <c r="F405" s="130" t="s">
        <v>585</v>
      </c>
      <c r="G405" s="131" t="s">
        <v>584</v>
      </c>
      <c r="H405" s="130"/>
    </row>
    <row r="406" spans="4:8" x14ac:dyDescent="0.25">
      <c r="D406" t="str">
        <f t="shared" si="9"/>
        <v>11NEOENERGIA ELEKTRO</v>
      </c>
      <c r="E406">
        <v>11</v>
      </c>
      <c r="F406" s="130" t="s">
        <v>585</v>
      </c>
      <c r="G406" s="131" t="s">
        <v>810</v>
      </c>
      <c r="H406" s="130"/>
    </row>
    <row r="407" spans="4:8" x14ac:dyDescent="0.25">
      <c r="D407" t="str">
        <f t="shared" si="9"/>
        <v>12NEOENERGIA ELEKTRO</v>
      </c>
      <c r="E407">
        <v>12</v>
      </c>
      <c r="F407" s="130" t="s">
        <v>585</v>
      </c>
      <c r="G407" s="131" t="s">
        <v>811</v>
      </c>
      <c r="H407" s="130"/>
    </row>
    <row r="408" spans="4:8" x14ac:dyDescent="0.25">
      <c r="D408" t="str">
        <f t="shared" si="9"/>
        <v>13NEOENERGIA ELEKTRO</v>
      </c>
      <c r="E408">
        <v>13</v>
      </c>
      <c r="F408" s="130" t="s">
        <v>585</v>
      </c>
      <c r="G408" s="131" t="s">
        <v>812</v>
      </c>
      <c r="H408" s="130"/>
    </row>
    <row r="409" spans="4:8" x14ac:dyDescent="0.25">
      <c r="D409" t="str">
        <f t="shared" si="9"/>
        <v>14NEOENERGIA ELEKTRO</v>
      </c>
      <c r="E409">
        <v>14</v>
      </c>
      <c r="F409" s="130" t="s">
        <v>585</v>
      </c>
      <c r="G409" s="131" t="s">
        <v>590</v>
      </c>
      <c r="H409" s="130"/>
    </row>
    <row r="410" spans="4:8" x14ac:dyDescent="0.25">
      <c r="D410" t="str">
        <f t="shared" si="9"/>
        <v>15NEOENERGIA ELEKTRO</v>
      </c>
      <c r="E410">
        <v>15</v>
      </c>
      <c r="F410" s="130" t="s">
        <v>585</v>
      </c>
      <c r="G410" s="131" t="s">
        <v>592</v>
      </c>
      <c r="H410" s="130"/>
    </row>
    <row r="411" spans="4:8" x14ac:dyDescent="0.25">
      <c r="D411" t="str">
        <f t="shared" si="9"/>
        <v>16NEOENERGIA ELEKTRO</v>
      </c>
      <c r="E411">
        <v>16</v>
      </c>
      <c r="F411" s="130" t="s">
        <v>585</v>
      </c>
      <c r="G411" s="131" t="s">
        <v>596</v>
      </c>
      <c r="H411" s="130"/>
    </row>
    <row r="412" spans="4:8" x14ac:dyDescent="0.25">
      <c r="D412" t="str">
        <f t="shared" si="9"/>
        <v>17NEOENERGIA ELEKTRO</v>
      </c>
      <c r="E412">
        <v>17</v>
      </c>
      <c r="F412" s="130" t="s">
        <v>585</v>
      </c>
      <c r="G412" s="131" t="s">
        <v>597</v>
      </c>
      <c r="H412" s="130"/>
    </row>
    <row r="413" spans="4:8" x14ac:dyDescent="0.25">
      <c r="D413" t="str">
        <f t="shared" si="9"/>
        <v>18NEOENERGIA ELEKTRO</v>
      </c>
      <c r="E413">
        <v>18</v>
      </c>
      <c r="F413" s="130" t="s">
        <v>585</v>
      </c>
      <c r="G413" s="131" t="s">
        <v>598</v>
      </c>
      <c r="H413" s="130"/>
    </row>
    <row r="414" spans="4:8" x14ac:dyDescent="0.25">
      <c r="D414" t="str">
        <f t="shared" si="9"/>
        <v>19NEOENERGIA ELEKTRO</v>
      </c>
      <c r="E414">
        <v>19</v>
      </c>
      <c r="F414" s="130" t="s">
        <v>585</v>
      </c>
      <c r="G414" s="131" t="s">
        <v>602</v>
      </c>
      <c r="H414" s="130"/>
    </row>
    <row r="415" spans="4:8" x14ac:dyDescent="0.25">
      <c r="D415" t="str">
        <f t="shared" si="9"/>
        <v>20NEOENERGIA ELEKTRO</v>
      </c>
      <c r="E415">
        <v>20</v>
      </c>
      <c r="F415" s="130" t="s">
        <v>585</v>
      </c>
      <c r="G415" s="131" t="s">
        <v>603</v>
      </c>
      <c r="H415" s="130"/>
    </row>
    <row r="416" spans="4:8" x14ac:dyDescent="0.25">
      <c r="D416" t="str">
        <f t="shared" si="9"/>
        <v>21NEOENERGIA ELEKTRO</v>
      </c>
      <c r="E416">
        <v>21</v>
      </c>
      <c r="F416" s="130" t="s">
        <v>585</v>
      </c>
      <c r="G416" s="131" t="s">
        <v>720</v>
      </c>
      <c r="H416" s="130"/>
    </row>
    <row r="417" spans="4:8" x14ac:dyDescent="0.25">
      <c r="D417" t="str">
        <f t="shared" si="9"/>
        <v>22NEOENERGIA ELEKTRO</v>
      </c>
      <c r="E417">
        <v>22</v>
      </c>
      <c r="F417" s="130" t="s">
        <v>585</v>
      </c>
      <c r="G417" s="131" t="s">
        <v>605</v>
      </c>
      <c r="H417" s="130"/>
    </row>
    <row r="418" spans="4:8" x14ac:dyDescent="0.25">
      <c r="D418" t="str">
        <f t="shared" si="9"/>
        <v>23NEOENERGIA ELEKTRO</v>
      </c>
      <c r="E418">
        <v>23</v>
      </c>
      <c r="F418" s="130" t="s">
        <v>585</v>
      </c>
      <c r="G418" s="131" t="s">
        <v>813</v>
      </c>
      <c r="H418" s="130"/>
    </row>
    <row r="419" spans="4:8" x14ac:dyDescent="0.25">
      <c r="D419" t="str">
        <f t="shared" si="9"/>
        <v>24NEOENERGIA ELEKTRO</v>
      </c>
      <c r="E419">
        <v>24</v>
      </c>
      <c r="F419" s="130" t="s">
        <v>585</v>
      </c>
      <c r="G419" s="131" t="s">
        <v>607</v>
      </c>
      <c r="H419" s="130"/>
    </row>
    <row r="420" spans="4:8" x14ac:dyDescent="0.25">
      <c r="D420" t="str">
        <f t="shared" si="9"/>
        <v>25NEOENERGIA ELEKTRO</v>
      </c>
      <c r="E420">
        <v>25</v>
      </c>
      <c r="F420" s="130" t="s">
        <v>585</v>
      </c>
      <c r="G420" s="131" t="s">
        <v>613</v>
      </c>
      <c r="H420" s="130"/>
    </row>
    <row r="421" spans="4:8" x14ac:dyDescent="0.25">
      <c r="D421" t="str">
        <f t="shared" si="9"/>
        <v>26NEOENERGIA ELEKTRO</v>
      </c>
      <c r="E421">
        <v>26</v>
      </c>
      <c r="F421" s="130" t="s">
        <v>585</v>
      </c>
      <c r="G421" s="131" t="s">
        <v>814</v>
      </c>
      <c r="H421" s="130"/>
    </row>
    <row r="422" spans="4:8" x14ac:dyDescent="0.25">
      <c r="D422" t="str">
        <f t="shared" si="9"/>
        <v>27NEOENERGIA ELEKTRO</v>
      </c>
      <c r="E422">
        <v>27</v>
      </c>
      <c r="F422" s="130" t="s">
        <v>585</v>
      </c>
      <c r="G422" s="131" t="s">
        <v>615</v>
      </c>
      <c r="H422" s="130"/>
    </row>
    <row r="423" spans="4:8" x14ac:dyDescent="0.25">
      <c r="D423" t="str">
        <f t="shared" si="9"/>
        <v>28NEOENERGIA ELEKTRO</v>
      </c>
      <c r="E423">
        <v>28</v>
      </c>
      <c r="F423" s="130" t="s">
        <v>585</v>
      </c>
      <c r="G423" s="131" t="s">
        <v>616</v>
      </c>
      <c r="H423" s="130"/>
    </row>
    <row r="424" spans="4:8" x14ac:dyDescent="0.25">
      <c r="D424" t="str">
        <f t="shared" si="9"/>
        <v>29NEOENERGIA ELEKTRO</v>
      </c>
      <c r="E424">
        <v>29</v>
      </c>
      <c r="F424" s="130" t="s">
        <v>585</v>
      </c>
      <c r="G424" s="131" t="s">
        <v>618</v>
      </c>
      <c r="H424" s="130"/>
    </row>
    <row r="425" spans="4:8" x14ac:dyDescent="0.25">
      <c r="D425" t="str">
        <f t="shared" si="9"/>
        <v>30NEOENERGIA ELEKTRO</v>
      </c>
      <c r="E425">
        <v>30</v>
      </c>
      <c r="F425" s="130" t="s">
        <v>585</v>
      </c>
      <c r="G425" s="131" t="s">
        <v>722</v>
      </c>
      <c r="H425" s="130"/>
    </row>
    <row r="426" spans="4:8" x14ac:dyDescent="0.25">
      <c r="D426" t="str">
        <f t="shared" si="9"/>
        <v>31NEOENERGIA ELEKTRO</v>
      </c>
      <c r="E426">
        <v>31</v>
      </c>
      <c r="F426" s="130" t="s">
        <v>585</v>
      </c>
      <c r="G426" s="131" t="s">
        <v>619</v>
      </c>
      <c r="H426" s="130"/>
    </row>
    <row r="427" spans="4:8" x14ac:dyDescent="0.25">
      <c r="D427" t="str">
        <f t="shared" si="9"/>
        <v>32NEOENERGIA ELEKTRO</v>
      </c>
      <c r="E427">
        <v>32</v>
      </c>
      <c r="F427" s="130" t="s">
        <v>585</v>
      </c>
      <c r="G427" s="131" t="s">
        <v>620</v>
      </c>
      <c r="H427" s="130"/>
    </row>
    <row r="428" spans="4:8" x14ac:dyDescent="0.25">
      <c r="D428" t="str">
        <f t="shared" si="9"/>
        <v>33NEOENERGIA ELEKTRO</v>
      </c>
      <c r="E428">
        <v>33</v>
      </c>
      <c r="F428" s="130" t="s">
        <v>585</v>
      </c>
      <c r="G428" s="131" t="s">
        <v>621</v>
      </c>
      <c r="H428" s="130"/>
    </row>
    <row r="429" spans="4:8" x14ac:dyDescent="0.25">
      <c r="D429" t="str">
        <f t="shared" si="9"/>
        <v>34NEOENERGIA ELEKTRO</v>
      </c>
      <c r="E429">
        <v>34</v>
      </c>
      <c r="F429" s="130" t="s">
        <v>585</v>
      </c>
      <c r="G429" s="131" t="s">
        <v>815</v>
      </c>
      <c r="H429" s="130"/>
    </row>
    <row r="430" spans="4:8" x14ac:dyDescent="0.25">
      <c r="D430" t="str">
        <f t="shared" si="9"/>
        <v>35NEOENERGIA ELEKTRO</v>
      </c>
      <c r="E430">
        <v>35</v>
      </c>
      <c r="F430" s="130" t="s">
        <v>585</v>
      </c>
      <c r="G430" s="131" t="s">
        <v>622</v>
      </c>
      <c r="H430" s="130"/>
    </row>
    <row r="431" spans="4:8" x14ac:dyDescent="0.25">
      <c r="D431" t="str">
        <f t="shared" si="9"/>
        <v>36NEOENERGIA ELEKTRO</v>
      </c>
      <c r="E431">
        <v>36</v>
      </c>
      <c r="F431" s="130" t="s">
        <v>585</v>
      </c>
      <c r="G431" s="131" t="s">
        <v>624</v>
      </c>
      <c r="H431" s="130"/>
    </row>
    <row r="432" spans="4:8" x14ac:dyDescent="0.25">
      <c r="D432" t="str">
        <f t="shared" si="9"/>
        <v>37NEOENERGIA ELEKTRO</v>
      </c>
      <c r="E432">
        <v>37</v>
      </c>
      <c r="F432" s="130" t="s">
        <v>585</v>
      </c>
      <c r="G432" s="131" t="s">
        <v>625</v>
      </c>
      <c r="H432" s="130"/>
    </row>
    <row r="433" spans="4:8" x14ac:dyDescent="0.25">
      <c r="D433" t="str">
        <f t="shared" si="9"/>
        <v>38NEOENERGIA ELEKTRO</v>
      </c>
      <c r="E433">
        <v>38</v>
      </c>
      <c r="F433" s="130" t="s">
        <v>585</v>
      </c>
      <c r="G433" s="131" t="s">
        <v>626</v>
      </c>
      <c r="H433" s="130"/>
    </row>
    <row r="434" spans="4:8" x14ac:dyDescent="0.25">
      <c r="D434" t="str">
        <f t="shared" si="9"/>
        <v>39NEOENERGIA ELEKTRO</v>
      </c>
      <c r="E434">
        <v>39</v>
      </c>
      <c r="F434" s="130" t="s">
        <v>585</v>
      </c>
      <c r="G434" s="131" t="s">
        <v>627</v>
      </c>
      <c r="H434" s="130"/>
    </row>
    <row r="435" spans="4:8" x14ac:dyDescent="0.25">
      <c r="D435" t="str">
        <f t="shared" si="9"/>
        <v>40NEOENERGIA ELEKTRO</v>
      </c>
      <c r="E435">
        <v>40</v>
      </c>
      <c r="F435" s="130" t="s">
        <v>585</v>
      </c>
      <c r="G435" s="131" t="s">
        <v>630</v>
      </c>
      <c r="H435" s="130"/>
    </row>
    <row r="436" spans="4:8" x14ac:dyDescent="0.25">
      <c r="D436" t="str">
        <f t="shared" si="9"/>
        <v>41NEOENERGIA ELEKTRO</v>
      </c>
      <c r="E436">
        <v>41</v>
      </c>
      <c r="F436" s="130" t="s">
        <v>585</v>
      </c>
      <c r="G436" s="131" t="s">
        <v>631</v>
      </c>
      <c r="H436" s="130"/>
    </row>
    <row r="437" spans="4:8" x14ac:dyDescent="0.25">
      <c r="D437" t="str">
        <f t="shared" si="9"/>
        <v>42NEOENERGIA ELEKTRO</v>
      </c>
      <c r="E437">
        <v>42</v>
      </c>
      <c r="F437" s="130" t="s">
        <v>585</v>
      </c>
      <c r="G437" s="131" t="s">
        <v>636</v>
      </c>
      <c r="H437" s="130"/>
    </row>
    <row r="438" spans="4:8" x14ac:dyDescent="0.25">
      <c r="D438" t="str">
        <f t="shared" si="9"/>
        <v>43NEOENERGIA ELEKTRO</v>
      </c>
      <c r="E438">
        <v>43</v>
      </c>
      <c r="F438" s="130" t="s">
        <v>585</v>
      </c>
      <c r="G438" s="131" t="s">
        <v>816</v>
      </c>
      <c r="H438" s="130"/>
    </row>
    <row r="439" spans="4:8" x14ac:dyDescent="0.25">
      <c r="D439" t="str">
        <f t="shared" si="9"/>
        <v>44NEOENERGIA ELEKTRO</v>
      </c>
      <c r="E439">
        <v>44</v>
      </c>
      <c r="F439" s="130" t="s">
        <v>585</v>
      </c>
      <c r="G439" s="131" t="s">
        <v>638</v>
      </c>
      <c r="H439" s="130"/>
    </row>
    <row r="440" spans="4:8" x14ac:dyDescent="0.25">
      <c r="D440" t="str">
        <f t="shared" si="9"/>
        <v>45NEOENERGIA ELEKTRO</v>
      </c>
      <c r="E440">
        <v>45</v>
      </c>
      <c r="F440" s="130" t="s">
        <v>585</v>
      </c>
      <c r="G440" s="131" t="s">
        <v>639</v>
      </c>
      <c r="H440" s="130"/>
    </row>
    <row r="441" spans="4:8" x14ac:dyDescent="0.25">
      <c r="D441" t="str">
        <f t="shared" si="9"/>
        <v>46NEOENERGIA ELEKTRO</v>
      </c>
      <c r="E441">
        <v>46</v>
      </c>
      <c r="F441" s="130" t="s">
        <v>585</v>
      </c>
      <c r="G441" s="131" t="s">
        <v>724</v>
      </c>
      <c r="H441" s="130"/>
    </row>
    <row r="442" spans="4:8" x14ac:dyDescent="0.25">
      <c r="D442" t="str">
        <f t="shared" si="9"/>
        <v>47NEOENERGIA ELEKTRO</v>
      </c>
      <c r="E442">
        <v>47</v>
      </c>
      <c r="F442" s="130" t="s">
        <v>585</v>
      </c>
      <c r="G442" s="131" t="s">
        <v>640</v>
      </c>
      <c r="H442" s="130"/>
    </row>
    <row r="443" spans="4:8" x14ac:dyDescent="0.25">
      <c r="D443" t="str">
        <f t="shared" si="9"/>
        <v>48NEOENERGIA ELEKTRO</v>
      </c>
      <c r="E443">
        <v>48</v>
      </c>
      <c r="F443" s="130" t="s">
        <v>585</v>
      </c>
      <c r="G443" s="131" t="s">
        <v>641</v>
      </c>
      <c r="H443" s="130"/>
    </row>
    <row r="444" spans="4:8" x14ac:dyDescent="0.25">
      <c r="D444" t="str">
        <f t="shared" si="9"/>
        <v>49NEOENERGIA ELEKTRO</v>
      </c>
      <c r="E444">
        <v>49</v>
      </c>
      <c r="F444" s="130" t="s">
        <v>585</v>
      </c>
      <c r="G444" s="131" t="s">
        <v>642</v>
      </c>
      <c r="H444" s="130"/>
    </row>
    <row r="445" spans="4:8" x14ac:dyDescent="0.25">
      <c r="D445" t="str">
        <f t="shared" si="9"/>
        <v>50NEOENERGIA ELEKTRO</v>
      </c>
      <c r="E445">
        <v>50</v>
      </c>
      <c r="F445" s="130" t="s">
        <v>585</v>
      </c>
      <c r="G445" s="131" t="s">
        <v>817</v>
      </c>
      <c r="H445" s="130"/>
    </row>
    <row r="446" spans="4:8" x14ac:dyDescent="0.25">
      <c r="D446" t="str">
        <f t="shared" si="9"/>
        <v>51NEOENERGIA ELEKTRO</v>
      </c>
      <c r="E446">
        <v>51</v>
      </c>
      <c r="F446" s="130" t="s">
        <v>585</v>
      </c>
      <c r="G446" s="131" t="s">
        <v>644</v>
      </c>
      <c r="H446" s="130"/>
    </row>
    <row r="447" spans="4:8" x14ac:dyDescent="0.25">
      <c r="D447" t="str">
        <f t="shared" si="9"/>
        <v>52NEOENERGIA ELEKTRO</v>
      </c>
      <c r="E447">
        <v>52</v>
      </c>
      <c r="F447" s="130" t="s">
        <v>585</v>
      </c>
      <c r="G447" s="131" t="s">
        <v>645</v>
      </c>
      <c r="H447" s="130"/>
    </row>
    <row r="448" spans="4:8" x14ac:dyDescent="0.25">
      <c r="D448" t="str">
        <f t="shared" si="9"/>
        <v>53NEOENERGIA ELEKTRO</v>
      </c>
      <c r="E448">
        <v>53</v>
      </c>
      <c r="F448" s="130" t="s">
        <v>585</v>
      </c>
      <c r="G448" s="131" t="s">
        <v>647</v>
      </c>
      <c r="H448" s="130"/>
    </row>
    <row r="449" spans="4:8" x14ac:dyDescent="0.25">
      <c r="D449" t="str">
        <f t="shared" si="9"/>
        <v>54NEOENERGIA ELEKTRO</v>
      </c>
      <c r="E449">
        <v>54</v>
      </c>
      <c r="F449" s="130" t="s">
        <v>585</v>
      </c>
      <c r="G449" s="131" t="s">
        <v>818</v>
      </c>
      <c r="H449" s="130"/>
    </row>
    <row r="450" spans="4:8" x14ac:dyDescent="0.25">
      <c r="D450" t="str">
        <f t="shared" si="9"/>
        <v>55NEOENERGIA ELEKTRO</v>
      </c>
      <c r="E450">
        <v>55</v>
      </c>
      <c r="F450" s="130" t="s">
        <v>585</v>
      </c>
      <c r="G450" s="131" t="s">
        <v>649</v>
      </c>
      <c r="H450" s="130"/>
    </row>
    <row r="451" spans="4:8" x14ac:dyDescent="0.25">
      <c r="D451" t="str">
        <f t="shared" ref="D451:D514" si="10">E451&amp;F451</f>
        <v>56NEOENERGIA ELEKTRO</v>
      </c>
      <c r="E451">
        <v>56</v>
      </c>
      <c r="F451" s="130" t="s">
        <v>585</v>
      </c>
      <c r="G451" s="131" t="s">
        <v>650</v>
      </c>
      <c r="H451" s="130"/>
    </row>
    <row r="452" spans="4:8" x14ac:dyDescent="0.25">
      <c r="D452" t="str">
        <f t="shared" si="10"/>
        <v>57NEOENERGIA ELEKTRO</v>
      </c>
      <c r="E452">
        <v>57</v>
      </c>
      <c r="F452" s="130" t="s">
        <v>585</v>
      </c>
      <c r="G452" s="131" t="s">
        <v>819</v>
      </c>
      <c r="H452" s="130"/>
    </row>
    <row r="453" spans="4:8" x14ac:dyDescent="0.25">
      <c r="D453" t="str">
        <f t="shared" si="10"/>
        <v>58NEOENERGIA ELEKTRO</v>
      </c>
      <c r="E453">
        <v>58</v>
      </c>
      <c r="F453" s="130" t="s">
        <v>585</v>
      </c>
      <c r="G453" s="131" t="s">
        <v>820</v>
      </c>
      <c r="H453" s="130"/>
    </row>
    <row r="454" spans="4:8" x14ac:dyDescent="0.25">
      <c r="D454" t="str">
        <f t="shared" si="10"/>
        <v>59NEOENERGIA ELEKTRO</v>
      </c>
      <c r="E454">
        <v>59</v>
      </c>
      <c r="F454" s="130" t="s">
        <v>585</v>
      </c>
      <c r="G454" s="131" t="s">
        <v>821</v>
      </c>
      <c r="H454" s="130"/>
    </row>
    <row r="455" spans="4:8" x14ac:dyDescent="0.25">
      <c r="D455" t="str">
        <f t="shared" si="10"/>
        <v>60NEOENERGIA ELEKTRO</v>
      </c>
      <c r="E455">
        <v>60</v>
      </c>
      <c r="F455" s="130" t="s">
        <v>585</v>
      </c>
      <c r="G455" s="131" t="s">
        <v>653</v>
      </c>
      <c r="H455" s="130"/>
    </row>
    <row r="456" spans="4:8" x14ac:dyDescent="0.25">
      <c r="D456" t="str">
        <f t="shared" si="10"/>
        <v>61NEOENERGIA ELEKTRO</v>
      </c>
      <c r="E456">
        <v>61</v>
      </c>
      <c r="F456" s="130" t="s">
        <v>585</v>
      </c>
      <c r="G456" s="131" t="s">
        <v>822</v>
      </c>
      <c r="H456" s="130"/>
    </row>
    <row r="457" spans="4:8" x14ac:dyDescent="0.25">
      <c r="D457" t="str">
        <f t="shared" si="10"/>
        <v>62NEOENERGIA ELEKTRO</v>
      </c>
      <c r="E457">
        <v>62</v>
      </c>
      <c r="F457" s="130" t="s">
        <v>585</v>
      </c>
      <c r="G457" s="131" t="s">
        <v>823</v>
      </c>
      <c r="H457" s="130"/>
    </row>
    <row r="458" spans="4:8" x14ac:dyDescent="0.25">
      <c r="D458" t="str">
        <f t="shared" si="10"/>
        <v>63NEOENERGIA ELEKTRO</v>
      </c>
      <c r="E458">
        <v>63</v>
      </c>
      <c r="F458" s="130" t="s">
        <v>585</v>
      </c>
      <c r="G458" s="131" t="s">
        <v>824</v>
      </c>
      <c r="H458" s="130"/>
    </row>
    <row r="459" spans="4:8" x14ac:dyDescent="0.25">
      <c r="D459" t="str">
        <f t="shared" si="10"/>
        <v>64NEOENERGIA ELEKTRO</v>
      </c>
      <c r="E459">
        <v>64</v>
      </c>
      <c r="F459" s="130" t="s">
        <v>585</v>
      </c>
      <c r="G459" s="131" t="s">
        <v>825</v>
      </c>
      <c r="H459" s="130"/>
    </row>
    <row r="460" spans="4:8" x14ac:dyDescent="0.25">
      <c r="D460" t="str">
        <f t="shared" si="10"/>
        <v>65NEOENERGIA ELEKTRO</v>
      </c>
      <c r="E460">
        <v>65</v>
      </c>
      <c r="F460" s="130" t="s">
        <v>585</v>
      </c>
      <c r="G460" s="131" t="s">
        <v>655</v>
      </c>
      <c r="H460" s="130"/>
    </row>
    <row r="461" spans="4:8" x14ac:dyDescent="0.25">
      <c r="D461" t="str">
        <f t="shared" si="10"/>
        <v>66NEOENERGIA ELEKTRO</v>
      </c>
      <c r="E461">
        <v>66</v>
      </c>
      <c r="F461" s="130" t="s">
        <v>585</v>
      </c>
      <c r="G461" s="131" t="s">
        <v>826</v>
      </c>
      <c r="H461" s="130"/>
    </row>
    <row r="462" spans="4:8" x14ac:dyDescent="0.25">
      <c r="D462" t="str">
        <f t="shared" si="10"/>
        <v>67NEOENERGIA ELEKTRO</v>
      </c>
      <c r="E462">
        <v>67</v>
      </c>
      <c r="F462" s="130" t="s">
        <v>585</v>
      </c>
      <c r="G462" s="131" t="s">
        <v>827</v>
      </c>
      <c r="H462" s="130"/>
    </row>
    <row r="463" spans="4:8" x14ac:dyDescent="0.25">
      <c r="D463" t="str">
        <f t="shared" si="10"/>
        <v>68NEOENERGIA ELEKTRO</v>
      </c>
      <c r="E463">
        <v>68</v>
      </c>
      <c r="F463" s="130" t="s">
        <v>585</v>
      </c>
      <c r="G463" s="131" t="s">
        <v>828</v>
      </c>
      <c r="H463" s="130"/>
    </row>
    <row r="464" spans="4:8" x14ac:dyDescent="0.25">
      <c r="D464" t="str">
        <f t="shared" si="10"/>
        <v>69NEOENERGIA ELEKTRO</v>
      </c>
      <c r="E464">
        <v>69</v>
      </c>
      <c r="F464" s="130" t="s">
        <v>585</v>
      </c>
      <c r="G464" s="131" t="s">
        <v>829</v>
      </c>
      <c r="H464" s="130"/>
    </row>
    <row r="465" spans="4:8" x14ac:dyDescent="0.25">
      <c r="D465" t="str">
        <f t="shared" si="10"/>
        <v>70NEOENERGIA ELEKTRO</v>
      </c>
      <c r="E465">
        <v>70</v>
      </c>
      <c r="F465" s="130" t="s">
        <v>585</v>
      </c>
      <c r="G465" s="131" t="s">
        <v>830</v>
      </c>
      <c r="H465" s="130"/>
    </row>
    <row r="466" spans="4:8" x14ac:dyDescent="0.25">
      <c r="D466" t="str">
        <f t="shared" si="10"/>
        <v>71NEOENERGIA ELEKTRO</v>
      </c>
      <c r="E466">
        <v>71</v>
      </c>
      <c r="F466" s="130" t="s">
        <v>585</v>
      </c>
      <c r="G466" s="131" t="s">
        <v>831</v>
      </c>
      <c r="H466" s="130"/>
    </row>
    <row r="467" spans="4:8" x14ac:dyDescent="0.25">
      <c r="D467" t="str">
        <f t="shared" si="10"/>
        <v>72NEOENERGIA ELEKTRO</v>
      </c>
      <c r="E467">
        <v>72</v>
      </c>
      <c r="F467" s="130" t="s">
        <v>585</v>
      </c>
      <c r="G467" s="131" t="s">
        <v>832</v>
      </c>
      <c r="H467" s="130"/>
    </row>
    <row r="468" spans="4:8" x14ac:dyDescent="0.25">
      <c r="D468" t="str">
        <f t="shared" si="10"/>
        <v>73NEOENERGIA ELEKTRO</v>
      </c>
      <c r="E468">
        <v>73</v>
      </c>
      <c r="F468" s="130" t="s">
        <v>585</v>
      </c>
      <c r="G468" s="131" t="s">
        <v>833</v>
      </c>
      <c r="H468" s="130"/>
    </row>
    <row r="469" spans="4:8" x14ac:dyDescent="0.25">
      <c r="D469" t="str">
        <f t="shared" si="10"/>
        <v>74NEOENERGIA ELEKTRO</v>
      </c>
      <c r="E469">
        <v>74</v>
      </c>
      <c r="F469" s="130" t="s">
        <v>585</v>
      </c>
      <c r="G469" s="131" t="s">
        <v>834</v>
      </c>
      <c r="H469" s="130"/>
    </row>
    <row r="470" spans="4:8" x14ac:dyDescent="0.25">
      <c r="D470" t="str">
        <f t="shared" si="10"/>
        <v>75NEOENERGIA ELEKTRO</v>
      </c>
      <c r="E470">
        <v>75</v>
      </c>
      <c r="F470" s="130" t="s">
        <v>585</v>
      </c>
      <c r="G470" s="131" t="s">
        <v>835</v>
      </c>
      <c r="H470" s="130"/>
    </row>
    <row r="471" spans="4:8" x14ac:dyDescent="0.25">
      <c r="D471" t="str">
        <f t="shared" si="10"/>
        <v>76NEOENERGIA ELEKTRO</v>
      </c>
      <c r="E471">
        <v>76</v>
      </c>
      <c r="F471" s="130" t="s">
        <v>585</v>
      </c>
      <c r="G471" s="131" t="s">
        <v>836</v>
      </c>
      <c r="H471" s="130"/>
    </row>
    <row r="472" spans="4:8" x14ac:dyDescent="0.25">
      <c r="D472" t="str">
        <f t="shared" si="10"/>
        <v>77NEOENERGIA ELEKTRO</v>
      </c>
      <c r="E472">
        <v>77</v>
      </c>
      <c r="F472" s="130" t="s">
        <v>585</v>
      </c>
      <c r="G472" s="131" t="s">
        <v>837</v>
      </c>
      <c r="H472" s="130"/>
    </row>
    <row r="473" spans="4:8" x14ac:dyDescent="0.25">
      <c r="D473" t="str">
        <f t="shared" si="10"/>
        <v>78NEOENERGIA ELEKTRO</v>
      </c>
      <c r="E473">
        <v>78</v>
      </c>
      <c r="F473" s="130" t="s">
        <v>585</v>
      </c>
      <c r="G473" s="131" t="s">
        <v>838</v>
      </c>
      <c r="H473" s="130"/>
    </row>
    <row r="474" spans="4:8" x14ac:dyDescent="0.25">
      <c r="D474" t="str">
        <f t="shared" si="10"/>
        <v>79NEOENERGIA ELEKTRO</v>
      </c>
      <c r="E474">
        <v>79</v>
      </c>
      <c r="F474" s="130" t="s">
        <v>585</v>
      </c>
      <c r="G474" s="131" t="s">
        <v>839</v>
      </c>
      <c r="H474" s="130"/>
    </row>
    <row r="475" spans="4:8" x14ac:dyDescent="0.25">
      <c r="D475" t="str">
        <f t="shared" si="10"/>
        <v>80NEOENERGIA ELEKTRO</v>
      </c>
      <c r="E475">
        <v>80</v>
      </c>
      <c r="F475" s="130" t="s">
        <v>585</v>
      </c>
      <c r="G475" s="131" t="s">
        <v>663</v>
      </c>
      <c r="H475" s="130"/>
    </row>
    <row r="476" spans="4:8" x14ac:dyDescent="0.25">
      <c r="D476" t="str">
        <f t="shared" si="10"/>
        <v>81NEOENERGIA ELEKTRO</v>
      </c>
      <c r="E476">
        <v>81</v>
      </c>
      <c r="F476" s="130" t="s">
        <v>585</v>
      </c>
      <c r="G476" s="131" t="s">
        <v>664</v>
      </c>
      <c r="H476" s="130"/>
    </row>
    <row r="477" spans="4:8" x14ac:dyDescent="0.25">
      <c r="D477" t="str">
        <f t="shared" si="10"/>
        <v>82NEOENERGIA ELEKTRO</v>
      </c>
      <c r="E477">
        <v>82</v>
      </c>
      <c r="F477" s="130" t="s">
        <v>585</v>
      </c>
      <c r="G477" s="131" t="s">
        <v>665</v>
      </c>
      <c r="H477" s="130"/>
    </row>
    <row r="478" spans="4:8" x14ac:dyDescent="0.25">
      <c r="D478" t="str">
        <f t="shared" si="10"/>
        <v>83NEOENERGIA ELEKTRO</v>
      </c>
      <c r="E478">
        <v>83</v>
      </c>
      <c r="F478" s="130" t="s">
        <v>585</v>
      </c>
      <c r="G478" s="131" t="s">
        <v>840</v>
      </c>
      <c r="H478" s="130"/>
    </row>
    <row r="479" spans="4:8" x14ac:dyDescent="0.25">
      <c r="D479" t="str">
        <f t="shared" si="10"/>
        <v>84NEOENERGIA ELEKTRO</v>
      </c>
      <c r="E479">
        <v>84</v>
      </c>
      <c r="F479" s="130" t="s">
        <v>585</v>
      </c>
      <c r="G479" s="131" t="s">
        <v>667</v>
      </c>
      <c r="H479" s="130"/>
    </row>
    <row r="480" spans="4:8" x14ac:dyDescent="0.25">
      <c r="D480" t="str">
        <f t="shared" si="10"/>
        <v>85NEOENERGIA ELEKTRO</v>
      </c>
      <c r="E480">
        <v>85</v>
      </c>
      <c r="F480" s="130" t="s">
        <v>585</v>
      </c>
      <c r="G480" s="131" t="s">
        <v>841</v>
      </c>
      <c r="H480" s="130"/>
    </row>
    <row r="481" spans="4:8" x14ac:dyDescent="0.25">
      <c r="D481" t="str">
        <f t="shared" si="10"/>
        <v>86NEOENERGIA ELEKTRO</v>
      </c>
      <c r="E481">
        <v>86</v>
      </c>
      <c r="F481" s="130" t="s">
        <v>585</v>
      </c>
      <c r="G481" s="131" t="s">
        <v>669</v>
      </c>
      <c r="H481" s="130"/>
    </row>
    <row r="482" spans="4:8" x14ac:dyDescent="0.25">
      <c r="D482" t="str">
        <f t="shared" si="10"/>
        <v>87NEOENERGIA ELEKTRO</v>
      </c>
      <c r="E482">
        <v>87</v>
      </c>
      <c r="F482" s="130" t="s">
        <v>585</v>
      </c>
      <c r="G482" s="131" t="s">
        <v>670</v>
      </c>
      <c r="H482" s="130"/>
    </row>
    <row r="483" spans="4:8" x14ac:dyDescent="0.25">
      <c r="D483" t="str">
        <f t="shared" si="10"/>
        <v>88NEOENERGIA ELEKTRO</v>
      </c>
      <c r="E483">
        <v>88</v>
      </c>
      <c r="F483" s="130" t="s">
        <v>585</v>
      </c>
      <c r="G483" s="131" t="s">
        <v>671</v>
      </c>
      <c r="H483" s="130"/>
    </row>
    <row r="484" spans="4:8" x14ac:dyDescent="0.25">
      <c r="D484" t="str">
        <f t="shared" si="10"/>
        <v>89NEOENERGIA ELEKTRO</v>
      </c>
      <c r="E484">
        <v>89</v>
      </c>
      <c r="F484" s="130" t="s">
        <v>585</v>
      </c>
      <c r="G484" s="131" t="s">
        <v>672</v>
      </c>
      <c r="H484" s="130"/>
    </row>
    <row r="485" spans="4:8" x14ac:dyDescent="0.25">
      <c r="D485" t="str">
        <f t="shared" si="10"/>
        <v>90NEOENERGIA ELEKTRO</v>
      </c>
      <c r="E485">
        <v>90</v>
      </c>
      <c r="F485" s="130" t="s">
        <v>585</v>
      </c>
      <c r="G485" s="131" t="s">
        <v>749</v>
      </c>
      <c r="H485" s="130"/>
    </row>
    <row r="486" spans="4:8" x14ac:dyDescent="0.25">
      <c r="D486" t="str">
        <f t="shared" si="10"/>
        <v>91NEOENERGIA ELEKTRO</v>
      </c>
      <c r="E486">
        <v>91</v>
      </c>
      <c r="F486" s="130" t="s">
        <v>585</v>
      </c>
      <c r="G486" s="131" t="s">
        <v>842</v>
      </c>
      <c r="H486" s="130"/>
    </row>
    <row r="487" spans="4:8" x14ac:dyDescent="0.25">
      <c r="D487" t="str">
        <f t="shared" si="10"/>
        <v>92NEOENERGIA ELEKTRO</v>
      </c>
      <c r="E487">
        <v>92</v>
      </c>
      <c r="F487" s="130" t="s">
        <v>585</v>
      </c>
      <c r="G487" s="131" t="s">
        <v>843</v>
      </c>
      <c r="H487" s="130"/>
    </row>
    <row r="488" spans="4:8" x14ac:dyDescent="0.25">
      <c r="D488" t="str">
        <f t="shared" si="10"/>
        <v>93NEOENERGIA ELEKTRO</v>
      </c>
      <c r="E488">
        <v>93</v>
      </c>
      <c r="F488" s="130" t="s">
        <v>585</v>
      </c>
      <c r="G488" s="131" t="s">
        <v>674</v>
      </c>
      <c r="H488" s="130"/>
    </row>
    <row r="489" spans="4:8" x14ac:dyDescent="0.25">
      <c r="D489" t="str">
        <f t="shared" si="10"/>
        <v>94NEOENERGIA ELEKTRO</v>
      </c>
      <c r="E489">
        <v>94</v>
      </c>
      <c r="F489" s="130" t="s">
        <v>585</v>
      </c>
      <c r="G489" s="131" t="s">
        <v>844</v>
      </c>
      <c r="H489" s="130"/>
    </row>
    <row r="490" spans="4:8" x14ac:dyDescent="0.25">
      <c r="D490" t="str">
        <f t="shared" si="10"/>
        <v>95NEOENERGIA ELEKTRO</v>
      </c>
      <c r="E490">
        <v>95</v>
      </c>
      <c r="F490" s="130" t="s">
        <v>585</v>
      </c>
      <c r="G490" s="131" t="s">
        <v>845</v>
      </c>
      <c r="H490" s="130"/>
    </row>
    <row r="491" spans="4:8" x14ac:dyDescent="0.25">
      <c r="D491" t="str">
        <f t="shared" si="10"/>
        <v>96NEOENERGIA ELEKTRO</v>
      </c>
      <c r="E491">
        <v>96</v>
      </c>
      <c r="F491" s="130" t="s">
        <v>585</v>
      </c>
      <c r="G491" s="131" t="s">
        <v>677</v>
      </c>
      <c r="H491" s="130"/>
    </row>
    <row r="492" spans="4:8" x14ac:dyDescent="0.25">
      <c r="D492" t="str">
        <f t="shared" si="10"/>
        <v>97NEOENERGIA ELEKTRO</v>
      </c>
      <c r="E492">
        <v>97</v>
      </c>
      <c r="F492" s="130" t="s">
        <v>585</v>
      </c>
      <c r="G492" s="131" t="s">
        <v>678</v>
      </c>
      <c r="H492" s="130"/>
    </row>
    <row r="493" spans="4:8" x14ac:dyDescent="0.25">
      <c r="D493" t="str">
        <f t="shared" si="10"/>
        <v>98NEOENERGIA ELEKTRO</v>
      </c>
      <c r="E493">
        <v>98</v>
      </c>
      <c r="F493" s="130" t="s">
        <v>585</v>
      </c>
      <c r="G493" s="131" t="s">
        <v>680</v>
      </c>
      <c r="H493" s="130"/>
    </row>
    <row r="494" spans="4:8" x14ac:dyDescent="0.25">
      <c r="D494" t="str">
        <f t="shared" si="10"/>
        <v>99NEOENERGIA ELEKTRO</v>
      </c>
      <c r="E494">
        <v>99</v>
      </c>
      <c r="F494" s="130" t="s">
        <v>585</v>
      </c>
      <c r="G494" s="131" t="s">
        <v>846</v>
      </c>
      <c r="H494" s="130"/>
    </row>
    <row r="495" spans="4:8" x14ac:dyDescent="0.25">
      <c r="D495" t="str">
        <f t="shared" si="10"/>
        <v>100NEOENERGIA ELEKTRO</v>
      </c>
      <c r="E495">
        <v>100</v>
      </c>
      <c r="F495" s="130" t="s">
        <v>585</v>
      </c>
      <c r="G495" s="131" t="s">
        <v>682</v>
      </c>
      <c r="H495" s="130"/>
    </row>
    <row r="496" spans="4:8" x14ac:dyDescent="0.25">
      <c r="D496" t="str">
        <f t="shared" si="10"/>
        <v>101NEOENERGIA ELEKTRO</v>
      </c>
      <c r="E496">
        <v>101</v>
      </c>
      <c r="F496" s="130" t="s">
        <v>585</v>
      </c>
      <c r="G496" s="131" t="s">
        <v>683</v>
      </c>
      <c r="H496" s="130"/>
    </row>
    <row r="497" spans="4:8" x14ac:dyDescent="0.25">
      <c r="D497" t="str">
        <f t="shared" si="10"/>
        <v>102NEOENERGIA ELEKTRO</v>
      </c>
      <c r="E497">
        <v>102</v>
      </c>
      <c r="F497" s="130" t="s">
        <v>585</v>
      </c>
      <c r="G497" s="131" t="s">
        <v>684</v>
      </c>
      <c r="H497" s="130"/>
    </row>
    <row r="498" spans="4:8" x14ac:dyDescent="0.25">
      <c r="D498" t="str">
        <f t="shared" si="10"/>
        <v>103NEOENERGIA ELEKTRO</v>
      </c>
      <c r="E498">
        <v>103</v>
      </c>
      <c r="F498" s="130" t="s">
        <v>585</v>
      </c>
      <c r="G498" s="131" t="s">
        <v>685</v>
      </c>
      <c r="H498" s="130"/>
    </row>
    <row r="499" spans="4:8" x14ac:dyDescent="0.25">
      <c r="D499" t="str">
        <f t="shared" si="10"/>
        <v>104NEOENERGIA ELEKTRO</v>
      </c>
      <c r="E499">
        <v>104</v>
      </c>
      <c r="F499" s="130" t="s">
        <v>585</v>
      </c>
      <c r="G499" s="131" t="s">
        <v>686</v>
      </c>
      <c r="H499" s="130"/>
    </row>
    <row r="500" spans="4:8" x14ac:dyDescent="0.25">
      <c r="D500" t="str">
        <f t="shared" si="10"/>
        <v>105NEOENERGIA ELEKTRO</v>
      </c>
      <c r="E500">
        <v>105</v>
      </c>
      <c r="F500" s="130" t="s">
        <v>585</v>
      </c>
      <c r="G500" s="131" t="s">
        <v>687</v>
      </c>
      <c r="H500" s="130"/>
    </row>
    <row r="501" spans="4:8" x14ac:dyDescent="0.25">
      <c r="D501" t="str">
        <f t="shared" si="10"/>
        <v>106NEOENERGIA ELEKTRO</v>
      </c>
      <c r="E501">
        <v>106</v>
      </c>
      <c r="F501" s="130" t="s">
        <v>585</v>
      </c>
      <c r="G501" s="131" t="s">
        <v>847</v>
      </c>
      <c r="H501" s="130"/>
    </row>
    <row r="502" spans="4:8" x14ac:dyDescent="0.25">
      <c r="D502" t="str">
        <f t="shared" si="10"/>
        <v>107NEOENERGIA ELEKTRO</v>
      </c>
      <c r="E502">
        <v>107</v>
      </c>
      <c r="F502" s="130" t="s">
        <v>585</v>
      </c>
      <c r="G502" s="131" t="s">
        <v>848</v>
      </c>
      <c r="H502" s="130"/>
    </row>
    <row r="503" spans="4:8" x14ac:dyDescent="0.25">
      <c r="D503" t="str">
        <f t="shared" si="10"/>
        <v>108NEOENERGIA ELEKTRO</v>
      </c>
      <c r="E503">
        <v>108</v>
      </c>
      <c r="F503" s="130" t="s">
        <v>585</v>
      </c>
      <c r="G503" s="131" t="s">
        <v>690</v>
      </c>
      <c r="H503" s="130"/>
    </row>
    <row r="504" spans="4:8" x14ac:dyDescent="0.25">
      <c r="D504" t="str">
        <f t="shared" si="10"/>
        <v>109NEOENERGIA ELEKTRO</v>
      </c>
      <c r="E504">
        <v>109</v>
      </c>
      <c r="F504" s="130" t="s">
        <v>585</v>
      </c>
      <c r="G504" s="131" t="s">
        <v>849</v>
      </c>
      <c r="H504" s="130"/>
    </row>
    <row r="505" spans="4:8" x14ac:dyDescent="0.25">
      <c r="D505" t="str">
        <f t="shared" si="10"/>
        <v>110NEOENERGIA ELEKTRO</v>
      </c>
      <c r="E505">
        <v>110</v>
      </c>
      <c r="F505" s="130" t="s">
        <v>585</v>
      </c>
      <c r="G505" s="131" t="s">
        <v>691</v>
      </c>
      <c r="H505" s="130"/>
    </row>
    <row r="506" spans="4:8" x14ac:dyDescent="0.25">
      <c r="D506" t="str">
        <f t="shared" si="10"/>
        <v>111NEOENERGIA ELEKTRO</v>
      </c>
      <c r="E506">
        <v>111</v>
      </c>
      <c r="F506" s="130" t="s">
        <v>585</v>
      </c>
      <c r="G506" s="131" t="s">
        <v>692</v>
      </c>
      <c r="H506" s="130"/>
    </row>
    <row r="507" spans="4:8" x14ac:dyDescent="0.25">
      <c r="D507" t="str">
        <f t="shared" si="10"/>
        <v>112NEOENERGIA ELEKTRO</v>
      </c>
      <c r="E507">
        <v>112</v>
      </c>
      <c r="F507" s="130" t="s">
        <v>585</v>
      </c>
      <c r="G507" s="131" t="s">
        <v>850</v>
      </c>
      <c r="H507" s="130"/>
    </row>
    <row r="508" spans="4:8" x14ac:dyDescent="0.25">
      <c r="D508" t="str">
        <f t="shared" si="10"/>
        <v>113NEOENERGIA ELEKTRO</v>
      </c>
      <c r="E508">
        <v>113</v>
      </c>
      <c r="F508" s="130" t="s">
        <v>585</v>
      </c>
      <c r="G508" s="131" t="s">
        <v>851</v>
      </c>
      <c r="H508" s="130"/>
    </row>
    <row r="509" spans="4:8" x14ac:dyDescent="0.25">
      <c r="D509" t="str">
        <f t="shared" si="10"/>
        <v>114NEOENERGIA ELEKTRO</v>
      </c>
      <c r="E509">
        <v>114</v>
      </c>
      <c r="F509" s="130" t="s">
        <v>585</v>
      </c>
      <c r="G509" s="131" t="s">
        <v>852</v>
      </c>
      <c r="H509" s="130"/>
    </row>
    <row r="510" spans="4:8" x14ac:dyDescent="0.25">
      <c r="D510" t="str">
        <f t="shared" si="10"/>
        <v>115NEOENERGIA ELEKTRO</v>
      </c>
      <c r="E510">
        <v>115</v>
      </c>
      <c r="F510" s="130" t="s">
        <v>585</v>
      </c>
      <c r="G510" s="131" t="s">
        <v>763</v>
      </c>
      <c r="H510" s="130"/>
    </row>
    <row r="511" spans="4:8" x14ac:dyDescent="0.25">
      <c r="D511" t="str">
        <f t="shared" si="10"/>
        <v>116NEOENERGIA ELEKTRO</v>
      </c>
      <c r="E511">
        <v>116</v>
      </c>
      <c r="F511" s="130" t="s">
        <v>585</v>
      </c>
      <c r="G511" s="131" t="s">
        <v>853</v>
      </c>
      <c r="H511" s="130"/>
    </row>
    <row r="512" spans="4:8" x14ac:dyDescent="0.25">
      <c r="D512" t="str">
        <f t="shared" si="10"/>
        <v>117NEOENERGIA ELEKTRO</v>
      </c>
      <c r="E512">
        <v>117</v>
      </c>
      <c r="F512" s="130" t="s">
        <v>585</v>
      </c>
      <c r="G512" s="131" t="s">
        <v>765</v>
      </c>
      <c r="H512" s="130"/>
    </row>
    <row r="513" spans="4:8" x14ac:dyDescent="0.25">
      <c r="D513" t="str">
        <f t="shared" si="10"/>
        <v>118NEOENERGIA ELEKTRO</v>
      </c>
      <c r="E513">
        <v>118</v>
      </c>
      <c r="F513" s="130" t="s">
        <v>585</v>
      </c>
      <c r="G513" s="131" t="s">
        <v>854</v>
      </c>
      <c r="H513" s="130"/>
    </row>
    <row r="514" spans="4:8" x14ac:dyDescent="0.25">
      <c r="D514" t="str">
        <f t="shared" si="10"/>
        <v>119NEOENERGIA ELEKTRO</v>
      </c>
      <c r="E514">
        <v>119</v>
      </c>
      <c r="F514" s="130" t="s">
        <v>585</v>
      </c>
      <c r="G514" s="131" t="s">
        <v>701</v>
      </c>
      <c r="H514" s="130"/>
    </row>
    <row r="515" spans="4:8" x14ac:dyDescent="0.25">
      <c r="D515" t="str">
        <f t="shared" ref="D515:D578" si="11">E515&amp;F515</f>
        <v>120NEOENERGIA ELEKTRO</v>
      </c>
      <c r="E515">
        <v>120</v>
      </c>
      <c r="F515" s="130" t="s">
        <v>585</v>
      </c>
      <c r="G515" s="131" t="s">
        <v>703</v>
      </c>
      <c r="H515" s="130"/>
    </row>
    <row r="516" spans="4:8" x14ac:dyDescent="0.25">
      <c r="D516" t="str">
        <f t="shared" si="11"/>
        <v>121NEOENERGIA ELEKTRO</v>
      </c>
      <c r="E516">
        <v>121</v>
      </c>
      <c r="F516" s="130" t="s">
        <v>585</v>
      </c>
      <c r="G516" s="131" t="s">
        <v>704</v>
      </c>
      <c r="H516" s="130"/>
    </row>
    <row r="517" spans="4:8" x14ac:dyDescent="0.25">
      <c r="D517" t="str">
        <f t="shared" si="11"/>
        <v>122NEOENERGIA ELEKTRO</v>
      </c>
      <c r="E517">
        <v>122</v>
      </c>
      <c r="F517" s="130" t="s">
        <v>585</v>
      </c>
      <c r="G517" s="131" t="s">
        <v>855</v>
      </c>
      <c r="H517" s="130"/>
    </row>
    <row r="518" spans="4:8" x14ac:dyDescent="0.25">
      <c r="D518" t="str">
        <f t="shared" si="11"/>
        <v>123NEOENERGIA ELEKTRO</v>
      </c>
      <c r="E518">
        <v>123</v>
      </c>
      <c r="F518" s="130" t="s">
        <v>585</v>
      </c>
      <c r="G518" s="131" t="s">
        <v>856</v>
      </c>
      <c r="H518" s="130"/>
    </row>
    <row r="519" spans="4:8" x14ac:dyDescent="0.25">
      <c r="D519" t="str">
        <f t="shared" si="11"/>
        <v>124NEOENERGIA ELEKTRO</v>
      </c>
      <c r="E519">
        <v>124</v>
      </c>
      <c r="F519" s="130" t="s">
        <v>585</v>
      </c>
      <c r="G519" s="131" t="s">
        <v>803</v>
      </c>
      <c r="H519" s="130"/>
    </row>
    <row r="520" spans="4:8" x14ac:dyDescent="0.25">
      <c r="D520" t="str">
        <f t="shared" si="11"/>
        <v>125NEOENERGIA ELEKTRO</v>
      </c>
      <c r="E520">
        <v>125</v>
      </c>
      <c r="F520" s="130" t="s">
        <v>585</v>
      </c>
      <c r="G520" s="131" t="s">
        <v>857</v>
      </c>
      <c r="H520" s="130"/>
    </row>
    <row r="521" spans="4:8" x14ac:dyDescent="0.25">
      <c r="D521" t="str">
        <f t="shared" si="11"/>
        <v>126NEOENERGIA ELEKTRO</v>
      </c>
      <c r="E521">
        <v>126</v>
      </c>
      <c r="F521" s="130" t="s">
        <v>585</v>
      </c>
      <c r="G521" s="131" t="s">
        <v>707</v>
      </c>
      <c r="H521" s="130"/>
    </row>
    <row r="522" spans="4:8" x14ac:dyDescent="0.25">
      <c r="D522" t="str">
        <f t="shared" si="11"/>
        <v>127NEOENERGIA ELEKTRO</v>
      </c>
      <c r="E522">
        <v>127</v>
      </c>
      <c r="F522" s="130" t="s">
        <v>585</v>
      </c>
      <c r="G522" s="131" t="s">
        <v>858</v>
      </c>
      <c r="H522" s="130"/>
    </row>
    <row r="523" spans="4:8" x14ac:dyDescent="0.25">
      <c r="D523" t="str">
        <f t="shared" si="11"/>
        <v>128NEOENERGIA ELEKTRO</v>
      </c>
      <c r="E523">
        <v>128</v>
      </c>
      <c r="F523" s="130" t="s">
        <v>585</v>
      </c>
      <c r="G523" s="131" t="s">
        <v>859</v>
      </c>
      <c r="H523" s="130"/>
    </row>
    <row r="524" spans="4:8" x14ac:dyDescent="0.25">
      <c r="D524" t="str">
        <f t="shared" si="11"/>
        <v>129NEOENERGIA ELEKTRO</v>
      </c>
      <c r="E524">
        <v>129</v>
      </c>
      <c r="F524" s="130" t="s">
        <v>585</v>
      </c>
      <c r="G524" s="131" t="s">
        <v>708</v>
      </c>
      <c r="H524" s="130"/>
    </row>
    <row r="525" spans="4:8" x14ac:dyDescent="0.25">
      <c r="D525" t="str">
        <f t="shared" si="11"/>
        <v>130NEOENERGIA ELEKTRO</v>
      </c>
      <c r="E525">
        <v>130</v>
      </c>
      <c r="F525" s="130" t="s">
        <v>585</v>
      </c>
      <c r="G525" s="131" t="s">
        <v>860</v>
      </c>
      <c r="H525" s="130"/>
    </row>
    <row r="526" spans="4:8" x14ac:dyDescent="0.25">
      <c r="D526" t="str">
        <f t="shared" si="11"/>
        <v>131NEOENERGIA ELEKTRO</v>
      </c>
      <c r="E526">
        <v>131</v>
      </c>
      <c r="F526" s="130" t="s">
        <v>585</v>
      </c>
      <c r="G526" s="131" t="s">
        <v>861</v>
      </c>
      <c r="H526" s="130"/>
    </row>
    <row r="527" spans="4:8" x14ac:dyDescent="0.25">
      <c r="D527" t="str">
        <f t="shared" si="11"/>
        <v>132NEOENERGIA ELEKTRO</v>
      </c>
      <c r="E527">
        <v>132</v>
      </c>
      <c r="F527" s="130" t="s">
        <v>585</v>
      </c>
      <c r="G527" s="131" t="s">
        <v>862</v>
      </c>
      <c r="H527" s="130"/>
    </row>
    <row r="528" spans="4:8" x14ac:dyDescent="0.25">
      <c r="D528" t="str">
        <f t="shared" si="11"/>
        <v>133NEOENERGIA ELEKTRO</v>
      </c>
      <c r="E528">
        <v>133</v>
      </c>
      <c r="F528" s="130" t="s">
        <v>585</v>
      </c>
      <c r="G528" s="131" t="s">
        <v>863</v>
      </c>
      <c r="H528" s="130"/>
    </row>
    <row r="529" spans="4:8" x14ac:dyDescent="0.25">
      <c r="D529" t="str">
        <f t="shared" si="11"/>
        <v>134NEOENERGIA ELEKTRO</v>
      </c>
      <c r="E529">
        <v>134</v>
      </c>
      <c r="F529" s="130" t="s">
        <v>585</v>
      </c>
      <c r="G529" s="131" t="s">
        <v>779</v>
      </c>
      <c r="H529" s="130"/>
    </row>
    <row r="530" spans="4:8" x14ac:dyDescent="0.25">
      <c r="D530" t="str">
        <f t="shared" si="11"/>
        <v>135NEOENERGIA ELEKTRO</v>
      </c>
      <c r="E530">
        <v>135</v>
      </c>
      <c r="F530" s="130" t="s">
        <v>585</v>
      </c>
      <c r="G530" s="131" t="s">
        <v>864</v>
      </c>
      <c r="H530" s="130"/>
    </row>
    <row r="531" spans="4:8" x14ac:dyDescent="0.25">
      <c r="D531" t="str">
        <f t="shared" si="11"/>
        <v>136NEOENERGIA ELEKTRO</v>
      </c>
      <c r="E531">
        <v>136</v>
      </c>
      <c r="F531" s="130" t="s">
        <v>585</v>
      </c>
      <c r="G531" s="131" t="s">
        <v>865</v>
      </c>
      <c r="H531" s="130"/>
    </row>
    <row r="532" spans="4:8" x14ac:dyDescent="0.25">
      <c r="D532" t="str">
        <f t="shared" si="11"/>
        <v>137NEOENERGIA ELEKTRO</v>
      </c>
      <c r="E532">
        <v>137</v>
      </c>
      <c r="F532" s="130" t="s">
        <v>585</v>
      </c>
      <c r="G532" s="131" t="s">
        <v>866</v>
      </c>
      <c r="H532" s="130"/>
    </row>
    <row r="533" spans="4:8" x14ac:dyDescent="0.25">
      <c r="D533" t="str">
        <f t="shared" si="11"/>
        <v>1ITAPEBI</v>
      </c>
      <c r="E533">
        <v>1</v>
      </c>
      <c r="F533" s="130" t="s">
        <v>575</v>
      </c>
      <c r="G533" s="131" t="s">
        <v>716</v>
      </c>
      <c r="H533" s="130"/>
    </row>
    <row r="534" spans="4:8" x14ac:dyDescent="0.25">
      <c r="D534" t="str">
        <f t="shared" si="11"/>
        <v>2ITAPEBI</v>
      </c>
      <c r="E534">
        <v>2</v>
      </c>
      <c r="F534" s="130" t="s">
        <v>575</v>
      </c>
      <c r="G534" s="131" t="s">
        <v>867</v>
      </c>
      <c r="H534" s="130"/>
    </row>
    <row r="535" spans="4:8" x14ac:dyDescent="0.25">
      <c r="D535" t="str">
        <f t="shared" si="11"/>
        <v>3ITAPEBI</v>
      </c>
      <c r="E535">
        <v>3</v>
      </c>
      <c r="F535" s="130" t="s">
        <v>575</v>
      </c>
      <c r="G535" s="131" t="s">
        <v>868</v>
      </c>
      <c r="H535" s="130"/>
    </row>
    <row r="536" spans="4:8" x14ac:dyDescent="0.25">
      <c r="D536" t="str">
        <f t="shared" si="11"/>
        <v>4ITAPEBI</v>
      </c>
      <c r="E536">
        <v>4</v>
      </c>
      <c r="F536" s="130" t="s">
        <v>575</v>
      </c>
      <c r="G536" s="131" t="s">
        <v>869</v>
      </c>
      <c r="H536" s="130"/>
    </row>
    <row r="537" spans="4:8" x14ac:dyDescent="0.25">
      <c r="D537" t="str">
        <f t="shared" si="11"/>
        <v>5ITAPEBI</v>
      </c>
      <c r="E537">
        <v>5</v>
      </c>
      <c r="F537" s="130" t="s">
        <v>575</v>
      </c>
      <c r="G537" s="131" t="s">
        <v>595</v>
      </c>
      <c r="H537" s="130"/>
    </row>
    <row r="538" spans="4:8" x14ac:dyDescent="0.25">
      <c r="D538" t="str">
        <f t="shared" si="11"/>
        <v>6ITAPEBI</v>
      </c>
      <c r="E538">
        <v>6</v>
      </c>
      <c r="F538" s="130" t="s">
        <v>575</v>
      </c>
      <c r="G538" s="131" t="s">
        <v>597</v>
      </c>
      <c r="H538" s="130"/>
    </row>
    <row r="539" spans="4:8" x14ac:dyDescent="0.25">
      <c r="D539" t="str">
        <f t="shared" si="11"/>
        <v>7ITAPEBI</v>
      </c>
      <c r="E539">
        <v>7</v>
      </c>
      <c r="F539" s="130" t="s">
        <v>575</v>
      </c>
      <c r="G539" s="131" t="s">
        <v>607</v>
      </c>
      <c r="H539" s="130"/>
    </row>
    <row r="540" spans="4:8" x14ac:dyDescent="0.25">
      <c r="D540" t="str">
        <f t="shared" si="11"/>
        <v>8ITAPEBI</v>
      </c>
      <c r="E540">
        <v>8</v>
      </c>
      <c r="F540" s="130" t="s">
        <v>575</v>
      </c>
      <c r="G540" s="131" t="s">
        <v>608</v>
      </c>
      <c r="H540" s="130"/>
    </row>
    <row r="541" spans="4:8" x14ac:dyDescent="0.25">
      <c r="D541" t="str">
        <f t="shared" si="11"/>
        <v>9ITAPEBI</v>
      </c>
      <c r="E541">
        <v>9</v>
      </c>
      <c r="F541" s="130" t="s">
        <v>575</v>
      </c>
      <c r="G541" s="131" t="s">
        <v>610</v>
      </c>
      <c r="H541" s="130"/>
    </row>
    <row r="542" spans="4:8" x14ac:dyDescent="0.25">
      <c r="D542" t="str">
        <f t="shared" si="11"/>
        <v>10ITAPEBI</v>
      </c>
      <c r="E542">
        <v>10</v>
      </c>
      <c r="F542" s="130" t="s">
        <v>575</v>
      </c>
      <c r="G542" s="131" t="s">
        <v>721</v>
      </c>
      <c r="H542" s="130"/>
    </row>
    <row r="543" spans="4:8" x14ac:dyDescent="0.25">
      <c r="D543" t="str">
        <f t="shared" si="11"/>
        <v>11ITAPEBI</v>
      </c>
      <c r="E543">
        <v>11</v>
      </c>
      <c r="F543" s="130" t="s">
        <v>575</v>
      </c>
      <c r="G543" s="131" t="s">
        <v>617</v>
      </c>
      <c r="H543" s="130"/>
    </row>
    <row r="544" spans="4:8" x14ac:dyDescent="0.25">
      <c r="D544" t="str">
        <f t="shared" si="11"/>
        <v>12ITAPEBI</v>
      </c>
      <c r="E544">
        <v>12</v>
      </c>
      <c r="F544" s="130" t="s">
        <v>575</v>
      </c>
      <c r="G544" s="131" t="s">
        <v>624</v>
      </c>
      <c r="H544" s="130"/>
    </row>
    <row r="545" spans="4:8" x14ac:dyDescent="0.25">
      <c r="D545" t="str">
        <f t="shared" si="11"/>
        <v>13ITAPEBI</v>
      </c>
      <c r="E545">
        <v>13</v>
      </c>
      <c r="F545" s="130" t="s">
        <v>575</v>
      </c>
      <c r="G545" s="131" t="s">
        <v>636</v>
      </c>
      <c r="H545" s="130"/>
    </row>
    <row r="546" spans="4:8" x14ac:dyDescent="0.25">
      <c r="D546" t="str">
        <f t="shared" si="11"/>
        <v>14ITAPEBI</v>
      </c>
      <c r="E546">
        <v>14</v>
      </c>
      <c r="F546" s="130" t="s">
        <v>575</v>
      </c>
      <c r="G546" s="131" t="s">
        <v>637</v>
      </c>
      <c r="H546" s="130"/>
    </row>
    <row r="547" spans="4:8" x14ac:dyDescent="0.25">
      <c r="D547" t="str">
        <f t="shared" si="11"/>
        <v>15ITAPEBI</v>
      </c>
      <c r="E547">
        <v>15</v>
      </c>
      <c r="F547" s="130" t="s">
        <v>575</v>
      </c>
      <c r="G547" s="131" t="s">
        <v>641</v>
      </c>
      <c r="H547" s="130"/>
    </row>
    <row r="548" spans="4:8" x14ac:dyDescent="0.25">
      <c r="D548" t="str">
        <f t="shared" si="11"/>
        <v>16ITAPEBI</v>
      </c>
      <c r="E548">
        <v>16</v>
      </c>
      <c r="F548" s="130" t="s">
        <v>575</v>
      </c>
      <c r="G548" s="131" t="s">
        <v>726</v>
      </c>
      <c r="H548" s="130"/>
    </row>
    <row r="549" spans="4:8" x14ac:dyDescent="0.25">
      <c r="D549" t="str">
        <f t="shared" si="11"/>
        <v>17ITAPEBI</v>
      </c>
      <c r="E549">
        <v>17</v>
      </c>
      <c r="F549" s="130" t="s">
        <v>575</v>
      </c>
      <c r="G549" s="131" t="s">
        <v>870</v>
      </c>
      <c r="H549" s="130"/>
    </row>
    <row r="550" spans="4:8" x14ac:dyDescent="0.25">
      <c r="D550" t="str">
        <f t="shared" si="11"/>
        <v>18ITAPEBI</v>
      </c>
      <c r="E550">
        <v>18</v>
      </c>
      <c r="F550" s="130" t="s">
        <v>575</v>
      </c>
      <c r="G550" s="131" t="s">
        <v>727</v>
      </c>
      <c r="H550" s="130"/>
    </row>
    <row r="551" spans="4:8" x14ac:dyDescent="0.25">
      <c r="D551" t="str">
        <f t="shared" si="11"/>
        <v>19ITAPEBI</v>
      </c>
      <c r="E551">
        <v>19</v>
      </c>
      <c r="F551" s="130" t="s">
        <v>575</v>
      </c>
      <c r="G551" s="131" t="s">
        <v>871</v>
      </c>
      <c r="H551" s="130"/>
    </row>
    <row r="552" spans="4:8" x14ac:dyDescent="0.25">
      <c r="D552" t="str">
        <f t="shared" si="11"/>
        <v>20ITAPEBI</v>
      </c>
      <c r="E552">
        <v>20</v>
      </c>
      <c r="F552" s="130" t="s">
        <v>575</v>
      </c>
      <c r="G552" s="131" t="s">
        <v>872</v>
      </c>
      <c r="H552" s="130"/>
    </row>
    <row r="553" spans="4:8" x14ac:dyDescent="0.25">
      <c r="D553" t="str">
        <f t="shared" si="11"/>
        <v>21ITAPEBI</v>
      </c>
      <c r="E553">
        <v>21</v>
      </c>
      <c r="F553" s="130" t="s">
        <v>575</v>
      </c>
      <c r="G553" s="131" t="s">
        <v>873</v>
      </c>
      <c r="H553" s="130"/>
    </row>
    <row r="554" spans="4:8" x14ac:dyDescent="0.25">
      <c r="D554" t="str">
        <f t="shared" si="11"/>
        <v>22ITAPEBI</v>
      </c>
      <c r="E554">
        <v>22</v>
      </c>
      <c r="F554" s="130" t="s">
        <v>575</v>
      </c>
      <c r="G554" s="131" t="s">
        <v>874</v>
      </c>
      <c r="H554" s="130"/>
    </row>
    <row r="555" spans="4:8" x14ac:dyDescent="0.25">
      <c r="D555" t="str">
        <f t="shared" si="11"/>
        <v>23ITAPEBI</v>
      </c>
      <c r="E555">
        <v>23</v>
      </c>
      <c r="F555" s="130" t="s">
        <v>575</v>
      </c>
      <c r="G555" s="131" t="s">
        <v>875</v>
      </c>
      <c r="H555" s="130"/>
    </row>
    <row r="556" spans="4:8" x14ac:dyDescent="0.25">
      <c r="D556" t="str">
        <f t="shared" si="11"/>
        <v>24ITAPEBI</v>
      </c>
      <c r="E556">
        <v>24</v>
      </c>
      <c r="F556" s="130" t="s">
        <v>575</v>
      </c>
      <c r="G556" s="131" t="s">
        <v>876</v>
      </c>
      <c r="H556" s="130"/>
    </row>
    <row r="557" spans="4:8" x14ac:dyDescent="0.25">
      <c r="D557" t="str">
        <f t="shared" si="11"/>
        <v>25ITAPEBI</v>
      </c>
      <c r="E557">
        <v>25</v>
      </c>
      <c r="F557" s="130" t="s">
        <v>575</v>
      </c>
      <c r="G557" s="131" t="s">
        <v>678</v>
      </c>
      <c r="H557" s="130"/>
    </row>
    <row r="558" spans="4:8" x14ac:dyDescent="0.25">
      <c r="D558" t="str">
        <f t="shared" si="11"/>
        <v>26ITAPEBI</v>
      </c>
      <c r="E558">
        <v>26</v>
      </c>
      <c r="F558" s="130" t="s">
        <v>575</v>
      </c>
      <c r="G558" s="131" t="s">
        <v>877</v>
      </c>
      <c r="H558" s="130"/>
    </row>
    <row r="559" spans="4:8" x14ac:dyDescent="0.25">
      <c r="D559" t="str">
        <f t="shared" si="11"/>
        <v>27ITAPEBI</v>
      </c>
      <c r="E559">
        <v>27</v>
      </c>
      <c r="F559" s="130" t="s">
        <v>575</v>
      </c>
      <c r="G559" s="131" t="s">
        <v>878</v>
      </c>
      <c r="H559" s="130"/>
    </row>
    <row r="560" spans="4:8" x14ac:dyDescent="0.25">
      <c r="D560" t="str">
        <f t="shared" si="11"/>
        <v>28ITAPEBI</v>
      </c>
      <c r="E560">
        <v>28</v>
      </c>
      <c r="F560" s="130" t="s">
        <v>575</v>
      </c>
      <c r="G560" s="131" t="s">
        <v>692</v>
      </c>
      <c r="H560" s="130"/>
    </row>
    <row r="561" spans="4:8" x14ac:dyDescent="0.25">
      <c r="D561" t="str">
        <f t="shared" si="11"/>
        <v>29ITAPEBI</v>
      </c>
      <c r="E561">
        <v>29</v>
      </c>
      <c r="F561" s="130" t="s">
        <v>575</v>
      </c>
      <c r="G561" s="131" t="s">
        <v>879</v>
      </c>
      <c r="H561" s="130"/>
    </row>
    <row r="562" spans="4:8" x14ac:dyDescent="0.25">
      <c r="D562" t="str">
        <f t="shared" si="11"/>
        <v>30ITAPEBI</v>
      </c>
      <c r="E562">
        <v>30</v>
      </c>
      <c r="F562" s="130" t="s">
        <v>575</v>
      </c>
      <c r="G562" s="131" t="s">
        <v>880</v>
      </c>
      <c r="H562" s="130"/>
    </row>
    <row r="563" spans="4:8" x14ac:dyDescent="0.25">
      <c r="D563" t="str">
        <f t="shared" si="11"/>
        <v>31ITAPEBI</v>
      </c>
      <c r="E563">
        <v>31</v>
      </c>
      <c r="F563" s="130" t="s">
        <v>575</v>
      </c>
      <c r="G563" s="131" t="s">
        <v>765</v>
      </c>
      <c r="H563" s="130"/>
    </row>
    <row r="564" spans="4:8" x14ac:dyDescent="0.25">
      <c r="D564" t="str">
        <f t="shared" si="11"/>
        <v>32ITAPEBI</v>
      </c>
      <c r="E564">
        <v>32</v>
      </c>
      <c r="F564" s="130" t="s">
        <v>575</v>
      </c>
      <c r="G564" s="131" t="s">
        <v>703</v>
      </c>
      <c r="H564" s="130"/>
    </row>
    <row r="565" spans="4:8" x14ac:dyDescent="0.25">
      <c r="D565" t="str">
        <f t="shared" si="11"/>
        <v>33ITAPEBI</v>
      </c>
      <c r="E565">
        <v>33</v>
      </c>
      <c r="F565" s="130" t="s">
        <v>575</v>
      </c>
      <c r="G565" s="131" t="s">
        <v>881</v>
      </c>
      <c r="H565" s="130"/>
    </row>
    <row r="566" spans="4:8" x14ac:dyDescent="0.25">
      <c r="D566" t="str">
        <f t="shared" si="11"/>
        <v>34ITAPEBI</v>
      </c>
      <c r="E566">
        <v>34</v>
      </c>
      <c r="F566" s="130" t="s">
        <v>575</v>
      </c>
      <c r="G566" s="131" t="s">
        <v>706</v>
      </c>
      <c r="H566" s="130"/>
    </row>
    <row r="567" spans="4:8" x14ac:dyDescent="0.25">
      <c r="D567" t="str">
        <f t="shared" si="11"/>
        <v>35ITAPEBI</v>
      </c>
      <c r="E567">
        <v>35</v>
      </c>
      <c r="F567" s="130" t="s">
        <v>575</v>
      </c>
      <c r="G567" s="131" t="s">
        <v>882</v>
      </c>
      <c r="H567" s="130"/>
    </row>
    <row r="568" spans="4:8" x14ac:dyDescent="0.25">
      <c r="D568" t="str">
        <f t="shared" si="11"/>
        <v>36ITAPEBI</v>
      </c>
      <c r="E568">
        <v>36</v>
      </c>
      <c r="F568" s="130" t="s">
        <v>575</v>
      </c>
      <c r="G568" s="131" t="s">
        <v>804</v>
      </c>
      <c r="H568" s="130"/>
    </row>
    <row r="569" spans="4:8" x14ac:dyDescent="0.25">
      <c r="D569" t="str">
        <f t="shared" si="11"/>
        <v>37ITAPEBI</v>
      </c>
      <c r="E569">
        <v>37</v>
      </c>
      <c r="F569" s="130" t="s">
        <v>575</v>
      </c>
      <c r="G569" s="131" t="s">
        <v>883</v>
      </c>
      <c r="H569" s="130"/>
    </row>
    <row r="570" spans="4:8" x14ac:dyDescent="0.25">
      <c r="D570" t="str">
        <f t="shared" si="11"/>
        <v>1NC ENERGIA</v>
      </c>
      <c r="E570">
        <v>1</v>
      </c>
      <c r="F570" s="130" t="s">
        <v>579</v>
      </c>
      <c r="G570" s="131" t="s">
        <v>884</v>
      </c>
      <c r="H570" s="130"/>
    </row>
    <row r="571" spans="4:8" x14ac:dyDescent="0.25">
      <c r="D571" t="str">
        <f t="shared" si="11"/>
        <v>2NC ENERGIA</v>
      </c>
      <c r="E571">
        <v>2</v>
      </c>
      <c r="F571" s="130" t="s">
        <v>579</v>
      </c>
      <c r="G571" s="131" t="s">
        <v>885</v>
      </c>
      <c r="H571" s="130"/>
    </row>
    <row r="572" spans="4:8" x14ac:dyDescent="0.25">
      <c r="D572" t="str">
        <f t="shared" si="11"/>
        <v>3NC ENERGIA</v>
      </c>
      <c r="E572">
        <v>3</v>
      </c>
      <c r="F572" s="130" t="s">
        <v>579</v>
      </c>
      <c r="G572" s="131" t="s">
        <v>886</v>
      </c>
      <c r="H572" s="130"/>
    </row>
    <row r="573" spans="4:8" x14ac:dyDescent="0.25">
      <c r="D573" t="str">
        <f t="shared" si="11"/>
        <v>4NC ENERGIA</v>
      </c>
      <c r="E573">
        <v>4</v>
      </c>
      <c r="F573" s="130" t="s">
        <v>579</v>
      </c>
      <c r="G573" s="131" t="s">
        <v>887</v>
      </c>
      <c r="H573" s="130"/>
    </row>
    <row r="574" spans="4:8" x14ac:dyDescent="0.25">
      <c r="D574" t="str">
        <f t="shared" si="11"/>
        <v>5NC ENERGIA</v>
      </c>
      <c r="E574">
        <v>5</v>
      </c>
      <c r="F574" s="130" t="s">
        <v>579</v>
      </c>
      <c r="G574" s="131" t="s">
        <v>888</v>
      </c>
      <c r="H574" s="130"/>
    </row>
    <row r="575" spans="4:8" x14ac:dyDescent="0.25">
      <c r="D575" t="str">
        <f t="shared" si="11"/>
        <v>6NC ENERGIA</v>
      </c>
      <c r="E575">
        <v>6</v>
      </c>
      <c r="F575" s="130" t="s">
        <v>579</v>
      </c>
      <c r="G575" s="131" t="s">
        <v>889</v>
      </c>
      <c r="H575" s="130"/>
    </row>
    <row r="576" spans="4:8" x14ac:dyDescent="0.25">
      <c r="D576" t="str">
        <f t="shared" si="11"/>
        <v>7NC ENERGIA</v>
      </c>
      <c r="E576">
        <v>7</v>
      </c>
      <c r="F576" s="130" t="s">
        <v>579</v>
      </c>
      <c r="G576" s="131" t="s">
        <v>727</v>
      </c>
      <c r="H576" s="130"/>
    </row>
    <row r="577" spans="4:8" x14ac:dyDescent="0.25">
      <c r="D577" t="str">
        <f t="shared" si="11"/>
        <v>8NC ENERGIA</v>
      </c>
      <c r="E577">
        <v>8</v>
      </c>
      <c r="F577" s="130" t="s">
        <v>579</v>
      </c>
      <c r="G577" s="131" t="s">
        <v>890</v>
      </c>
      <c r="H577" s="130"/>
    </row>
    <row r="578" spans="4:8" x14ac:dyDescent="0.25">
      <c r="D578" t="str">
        <f t="shared" si="11"/>
        <v>9NC ENERGIA</v>
      </c>
      <c r="E578">
        <v>9</v>
      </c>
      <c r="F578" s="130" t="s">
        <v>579</v>
      </c>
      <c r="G578" s="131" t="s">
        <v>891</v>
      </c>
      <c r="H578" s="130"/>
    </row>
    <row r="579" spans="4:8" x14ac:dyDescent="0.25">
      <c r="D579" t="str">
        <f t="shared" ref="D579:D642" si="12">E579&amp;F579</f>
        <v>10NC ENERGIA</v>
      </c>
      <c r="E579">
        <v>10</v>
      </c>
      <c r="F579" s="130" t="s">
        <v>579</v>
      </c>
      <c r="G579" s="131" t="s">
        <v>892</v>
      </c>
      <c r="H579" s="130"/>
    </row>
    <row r="580" spans="4:8" x14ac:dyDescent="0.25">
      <c r="D580" t="str">
        <f t="shared" si="12"/>
        <v>11NC ENERGIA</v>
      </c>
      <c r="E580">
        <v>11</v>
      </c>
      <c r="F580" s="130" t="s">
        <v>579</v>
      </c>
      <c r="G580" s="131" t="s">
        <v>893</v>
      </c>
      <c r="H580" s="130"/>
    </row>
    <row r="581" spans="4:8" x14ac:dyDescent="0.25">
      <c r="D581" t="str">
        <f t="shared" si="12"/>
        <v>12NC ENERGIA</v>
      </c>
      <c r="E581">
        <v>12</v>
      </c>
      <c r="F581" s="130" t="s">
        <v>579</v>
      </c>
      <c r="G581" s="131" t="s">
        <v>894</v>
      </c>
      <c r="H581" s="130"/>
    </row>
    <row r="582" spans="4:8" x14ac:dyDescent="0.25">
      <c r="D582" t="str">
        <f t="shared" si="12"/>
        <v>13NC ENERGIA</v>
      </c>
      <c r="E582">
        <v>13</v>
      </c>
      <c r="F582" s="130" t="s">
        <v>579</v>
      </c>
      <c r="G582" s="131" t="s">
        <v>895</v>
      </c>
      <c r="H582" s="130"/>
    </row>
    <row r="583" spans="4:8" x14ac:dyDescent="0.25">
      <c r="D583" t="str">
        <f t="shared" si="12"/>
        <v>14NC ENERGIA</v>
      </c>
      <c r="E583">
        <v>14</v>
      </c>
      <c r="F583" s="130" t="s">
        <v>579</v>
      </c>
      <c r="G583" s="131" t="s">
        <v>896</v>
      </c>
      <c r="H583" s="130"/>
    </row>
    <row r="584" spans="4:8" x14ac:dyDescent="0.25">
      <c r="D584" t="str">
        <f t="shared" si="12"/>
        <v>15NC ENERGIA</v>
      </c>
      <c r="E584">
        <v>15</v>
      </c>
      <c r="F584" s="130" t="s">
        <v>579</v>
      </c>
      <c r="G584" s="131" t="s">
        <v>897</v>
      </c>
      <c r="H584" s="130"/>
    </row>
    <row r="585" spans="4:8" x14ac:dyDescent="0.25">
      <c r="D585" t="str">
        <f t="shared" si="12"/>
        <v>16NC ENERGIA</v>
      </c>
      <c r="E585">
        <v>16</v>
      </c>
      <c r="F585" s="130" t="s">
        <v>579</v>
      </c>
      <c r="G585" s="131" t="s">
        <v>898</v>
      </c>
      <c r="H585" s="130"/>
    </row>
    <row r="586" spans="4:8" x14ac:dyDescent="0.25">
      <c r="D586" t="str">
        <f t="shared" si="12"/>
        <v>17NC ENERGIA</v>
      </c>
      <c r="E586">
        <v>17</v>
      </c>
      <c r="F586" s="130" t="s">
        <v>579</v>
      </c>
      <c r="G586" s="131" t="s">
        <v>774</v>
      </c>
      <c r="H586" s="130"/>
    </row>
    <row r="587" spans="4:8" x14ac:dyDescent="0.25">
      <c r="D587" t="str">
        <f t="shared" si="12"/>
        <v>1NEOENERGIA BRASÍLIA</v>
      </c>
      <c r="E587">
        <v>1</v>
      </c>
      <c r="F587" s="130" t="s">
        <v>581</v>
      </c>
      <c r="G587" s="131" t="s">
        <v>569</v>
      </c>
      <c r="H587" s="130"/>
    </row>
    <row r="588" spans="4:8" x14ac:dyDescent="0.25">
      <c r="D588" t="str">
        <f t="shared" si="12"/>
        <v>2NEOENERGIA BRASÍLIA</v>
      </c>
      <c r="E588">
        <v>2</v>
      </c>
      <c r="F588" s="130" t="s">
        <v>581</v>
      </c>
      <c r="G588" s="131" t="s">
        <v>570</v>
      </c>
      <c r="H588" s="130"/>
    </row>
    <row r="589" spans="4:8" x14ac:dyDescent="0.25">
      <c r="D589" t="str">
        <f t="shared" si="12"/>
        <v>3NEOENERGIA BRASÍLIA</v>
      </c>
      <c r="E589">
        <v>3</v>
      </c>
      <c r="F589" s="130" t="s">
        <v>581</v>
      </c>
      <c r="G589" s="131" t="s">
        <v>899</v>
      </c>
      <c r="H589" s="130"/>
    </row>
    <row r="590" spans="4:8" x14ac:dyDescent="0.25">
      <c r="D590" t="str">
        <f t="shared" si="12"/>
        <v>4NEOENERGIA BRASÍLIA</v>
      </c>
      <c r="E590">
        <v>4</v>
      </c>
      <c r="F590" s="130" t="s">
        <v>581</v>
      </c>
      <c r="G590" s="131" t="s">
        <v>576</v>
      </c>
      <c r="H590" s="130"/>
    </row>
    <row r="591" spans="4:8" x14ac:dyDescent="0.25">
      <c r="D591" t="str">
        <f t="shared" si="12"/>
        <v>5NEOENERGIA BRASÍLIA</v>
      </c>
      <c r="E591">
        <v>5</v>
      </c>
      <c r="F591" s="130" t="s">
        <v>581</v>
      </c>
      <c r="G591" s="131" t="s">
        <v>578</v>
      </c>
      <c r="H591" s="130"/>
    </row>
    <row r="592" spans="4:8" x14ac:dyDescent="0.25">
      <c r="D592" t="str">
        <f t="shared" si="12"/>
        <v>6NEOENERGIA BRASÍLIA</v>
      </c>
      <c r="E592">
        <v>6</v>
      </c>
      <c r="F592" s="130" t="s">
        <v>581</v>
      </c>
      <c r="G592" s="131" t="s">
        <v>900</v>
      </c>
      <c r="H592" s="130"/>
    </row>
    <row r="593" spans="4:8" x14ac:dyDescent="0.25">
      <c r="D593" t="str">
        <f t="shared" si="12"/>
        <v>7NEOENERGIA BRASÍLIA</v>
      </c>
      <c r="E593">
        <v>7</v>
      </c>
      <c r="F593" s="130" t="s">
        <v>581</v>
      </c>
      <c r="G593" s="131" t="s">
        <v>580</v>
      </c>
      <c r="H593" s="130"/>
    </row>
    <row r="594" spans="4:8" x14ac:dyDescent="0.25">
      <c r="D594" t="str">
        <f t="shared" si="12"/>
        <v>8NEOENERGIA BRASÍLIA</v>
      </c>
      <c r="E594">
        <v>8</v>
      </c>
      <c r="F594" s="130" t="s">
        <v>581</v>
      </c>
      <c r="G594" s="131" t="s">
        <v>901</v>
      </c>
      <c r="H594" s="130"/>
    </row>
    <row r="595" spans="4:8" x14ac:dyDescent="0.25">
      <c r="D595" t="str">
        <f t="shared" si="12"/>
        <v>9NEOENERGIA BRASÍLIA</v>
      </c>
      <c r="E595">
        <v>9</v>
      </c>
      <c r="F595" s="130" t="s">
        <v>581</v>
      </c>
      <c r="G595" s="131" t="s">
        <v>584</v>
      </c>
      <c r="H595" s="130"/>
    </row>
    <row r="596" spans="4:8" x14ac:dyDescent="0.25">
      <c r="D596" t="str">
        <f t="shared" si="12"/>
        <v>10NEOENERGIA BRASÍLIA</v>
      </c>
      <c r="E596">
        <v>10</v>
      </c>
      <c r="F596" s="130" t="s">
        <v>581</v>
      </c>
      <c r="G596" s="131" t="s">
        <v>586</v>
      </c>
      <c r="H596" s="130"/>
    </row>
    <row r="597" spans="4:8" x14ac:dyDescent="0.25">
      <c r="D597" t="str">
        <f t="shared" si="12"/>
        <v>11NEOENERGIA BRASÍLIA</v>
      </c>
      <c r="E597">
        <v>11</v>
      </c>
      <c r="F597" s="130" t="s">
        <v>581</v>
      </c>
      <c r="G597" s="131" t="s">
        <v>902</v>
      </c>
      <c r="H597" s="130"/>
    </row>
    <row r="598" spans="4:8" x14ac:dyDescent="0.25">
      <c r="D598" t="str">
        <f t="shared" si="12"/>
        <v>12NEOENERGIA BRASÍLIA</v>
      </c>
      <c r="E598">
        <v>12</v>
      </c>
      <c r="F598" s="130" t="s">
        <v>581</v>
      </c>
      <c r="G598" s="131" t="s">
        <v>590</v>
      </c>
      <c r="H598" s="130"/>
    </row>
    <row r="599" spans="4:8" x14ac:dyDescent="0.25">
      <c r="D599" t="str">
        <f t="shared" si="12"/>
        <v>13NEOENERGIA BRASÍLIA</v>
      </c>
      <c r="E599">
        <v>13</v>
      </c>
      <c r="F599" s="130" t="s">
        <v>581</v>
      </c>
      <c r="G599" s="131" t="s">
        <v>592</v>
      </c>
      <c r="H599" s="130"/>
    </row>
    <row r="600" spans="4:8" x14ac:dyDescent="0.25">
      <c r="D600" t="str">
        <f t="shared" si="12"/>
        <v>14NEOENERGIA BRASÍLIA</v>
      </c>
      <c r="E600">
        <v>14</v>
      </c>
      <c r="F600" s="130" t="s">
        <v>581</v>
      </c>
      <c r="G600" s="131" t="s">
        <v>596</v>
      </c>
      <c r="H600" s="130"/>
    </row>
    <row r="601" spans="4:8" x14ac:dyDescent="0.25">
      <c r="D601" t="str">
        <f t="shared" si="12"/>
        <v>15NEOENERGIA BRASÍLIA</v>
      </c>
      <c r="E601">
        <v>15</v>
      </c>
      <c r="F601" s="130" t="s">
        <v>581</v>
      </c>
      <c r="G601" s="131" t="s">
        <v>597</v>
      </c>
      <c r="H601" s="130"/>
    </row>
    <row r="602" spans="4:8" x14ac:dyDescent="0.25">
      <c r="D602" t="str">
        <f t="shared" si="12"/>
        <v>16NEOENERGIA BRASÍLIA</v>
      </c>
      <c r="E602">
        <v>16</v>
      </c>
      <c r="F602" s="130" t="s">
        <v>581</v>
      </c>
      <c r="G602" s="131" t="s">
        <v>598</v>
      </c>
      <c r="H602" s="130"/>
    </row>
    <row r="603" spans="4:8" x14ac:dyDescent="0.25">
      <c r="D603" t="str">
        <f t="shared" si="12"/>
        <v>17NEOENERGIA BRASÍLIA</v>
      </c>
      <c r="E603">
        <v>17</v>
      </c>
      <c r="F603" s="130" t="s">
        <v>581</v>
      </c>
      <c r="G603" s="131" t="s">
        <v>599</v>
      </c>
      <c r="H603" s="130"/>
    </row>
    <row r="604" spans="4:8" x14ac:dyDescent="0.25">
      <c r="D604" t="str">
        <f t="shared" si="12"/>
        <v>18NEOENERGIA BRASÍLIA</v>
      </c>
      <c r="E604">
        <v>18</v>
      </c>
      <c r="F604" s="130" t="s">
        <v>581</v>
      </c>
      <c r="G604" s="131" t="s">
        <v>602</v>
      </c>
      <c r="H604" s="130"/>
    </row>
    <row r="605" spans="4:8" x14ac:dyDescent="0.25">
      <c r="D605" t="str">
        <f t="shared" si="12"/>
        <v>19NEOENERGIA BRASÍLIA</v>
      </c>
      <c r="E605">
        <v>19</v>
      </c>
      <c r="F605" s="130" t="s">
        <v>581</v>
      </c>
      <c r="G605" s="131" t="s">
        <v>605</v>
      </c>
      <c r="H605" s="130"/>
    </row>
    <row r="606" spans="4:8" x14ac:dyDescent="0.25">
      <c r="D606" t="str">
        <f t="shared" si="12"/>
        <v>20NEOENERGIA BRASÍLIA</v>
      </c>
      <c r="E606">
        <v>20</v>
      </c>
      <c r="F606" s="130" t="s">
        <v>581</v>
      </c>
      <c r="G606" s="131" t="s">
        <v>607</v>
      </c>
      <c r="H606" s="130"/>
    </row>
    <row r="607" spans="4:8" x14ac:dyDescent="0.25">
      <c r="D607" t="str">
        <f t="shared" si="12"/>
        <v>21NEOENERGIA BRASÍLIA</v>
      </c>
      <c r="E607">
        <v>21</v>
      </c>
      <c r="F607" s="130" t="s">
        <v>581</v>
      </c>
      <c r="G607" s="131" t="s">
        <v>612</v>
      </c>
      <c r="H607" s="130"/>
    </row>
    <row r="608" spans="4:8" x14ac:dyDescent="0.25">
      <c r="D608" t="str">
        <f t="shared" si="12"/>
        <v>22NEOENERGIA BRASÍLIA</v>
      </c>
      <c r="E608">
        <v>22</v>
      </c>
      <c r="F608" s="130" t="s">
        <v>581</v>
      </c>
      <c r="G608" s="131" t="s">
        <v>903</v>
      </c>
      <c r="H608" s="130"/>
    </row>
    <row r="609" spans="4:8" x14ac:dyDescent="0.25">
      <c r="D609" t="str">
        <f t="shared" si="12"/>
        <v>23NEOENERGIA BRASÍLIA</v>
      </c>
      <c r="E609">
        <v>23</v>
      </c>
      <c r="F609" s="130" t="s">
        <v>581</v>
      </c>
      <c r="G609" s="131" t="s">
        <v>618</v>
      </c>
      <c r="H609" s="130"/>
    </row>
    <row r="610" spans="4:8" x14ac:dyDescent="0.25">
      <c r="D610" t="str">
        <f t="shared" si="12"/>
        <v>24NEOENERGIA BRASÍLIA</v>
      </c>
      <c r="E610">
        <v>24</v>
      </c>
      <c r="F610" s="130" t="s">
        <v>581</v>
      </c>
      <c r="G610" s="131" t="s">
        <v>619</v>
      </c>
      <c r="H610" s="130"/>
    </row>
    <row r="611" spans="4:8" x14ac:dyDescent="0.25">
      <c r="D611" t="str">
        <f t="shared" si="12"/>
        <v>25NEOENERGIA BRASÍLIA</v>
      </c>
      <c r="E611">
        <v>25</v>
      </c>
      <c r="F611" s="130" t="s">
        <v>581</v>
      </c>
      <c r="G611" s="131" t="s">
        <v>620</v>
      </c>
      <c r="H611" s="130"/>
    </row>
    <row r="612" spans="4:8" x14ac:dyDescent="0.25">
      <c r="D612" t="str">
        <f t="shared" si="12"/>
        <v>26NEOENERGIA BRASÍLIA</v>
      </c>
      <c r="E612">
        <v>26</v>
      </c>
      <c r="F612" s="130" t="s">
        <v>581</v>
      </c>
      <c r="G612" s="131" t="s">
        <v>622</v>
      </c>
      <c r="H612" s="130"/>
    </row>
    <row r="613" spans="4:8" x14ac:dyDescent="0.25">
      <c r="D613" t="str">
        <f t="shared" si="12"/>
        <v>27NEOENERGIA BRASÍLIA</v>
      </c>
      <c r="E613">
        <v>27</v>
      </c>
      <c r="F613" s="130" t="s">
        <v>581</v>
      </c>
      <c r="G613" s="131" t="s">
        <v>723</v>
      </c>
      <c r="H613" s="130"/>
    </row>
    <row r="614" spans="4:8" x14ac:dyDescent="0.25">
      <c r="D614" t="str">
        <f t="shared" si="12"/>
        <v>28NEOENERGIA BRASÍLIA</v>
      </c>
      <c r="E614">
        <v>28</v>
      </c>
      <c r="F614" s="130" t="s">
        <v>581</v>
      </c>
      <c r="G614" s="131" t="s">
        <v>631</v>
      </c>
      <c r="H614" s="130"/>
    </row>
    <row r="615" spans="4:8" x14ac:dyDescent="0.25">
      <c r="D615" t="str">
        <f t="shared" si="12"/>
        <v>29NEOENERGIA BRASÍLIA</v>
      </c>
      <c r="E615">
        <v>29</v>
      </c>
      <c r="F615" s="130" t="s">
        <v>581</v>
      </c>
      <c r="G615" s="131" t="s">
        <v>639</v>
      </c>
      <c r="H615" s="130"/>
    </row>
    <row r="616" spans="4:8" x14ac:dyDescent="0.25">
      <c r="D616" t="str">
        <f t="shared" si="12"/>
        <v>30NEOENERGIA BRASÍLIA</v>
      </c>
      <c r="E616">
        <v>30</v>
      </c>
      <c r="F616" s="130" t="s">
        <v>581</v>
      </c>
      <c r="G616" s="131" t="s">
        <v>642</v>
      </c>
      <c r="H616" s="130"/>
    </row>
    <row r="617" spans="4:8" x14ac:dyDescent="0.25">
      <c r="D617" t="str">
        <f t="shared" si="12"/>
        <v>31NEOENERGIA BRASÍLIA</v>
      </c>
      <c r="E617">
        <v>31</v>
      </c>
      <c r="F617" s="130" t="s">
        <v>581</v>
      </c>
      <c r="G617" s="131" t="s">
        <v>904</v>
      </c>
      <c r="H617" s="130"/>
    </row>
    <row r="618" spans="4:8" x14ac:dyDescent="0.25">
      <c r="D618" t="str">
        <f t="shared" si="12"/>
        <v>32NEOENERGIA BRASÍLIA</v>
      </c>
      <c r="E618">
        <v>32</v>
      </c>
      <c r="F618" s="130" t="s">
        <v>581</v>
      </c>
      <c r="G618" s="131" t="s">
        <v>644</v>
      </c>
      <c r="H618" s="130"/>
    </row>
    <row r="619" spans="4:8" x14ac:dyDescent="0.25">
      <c r="D619" t="str">
        <f t="shared" si="12"/>
        <v>33NEOENERGIA BRASÍLIA</v>
      </c>
      <c r="E619">
        <v>33</v>
      </c>
      <c r="F619" s="130" t="s">
        <v>581</v>
      </c>
      <c r="G619" s="131" t="s">
        <v>647</v>
      </c>
      <c r="H619" s="130"/>
    </row>
    <row r="620" spans="4:8" x14ac:dyDescent="0.25">
      <c r="D620" t="str">
        <f t="shared" si="12"/>
        <v>34NEOENERGIA BRASÍLIA</v>
      </c>
      <c r="E620">
        <v>34</v>
      </c>
      <c r="F620" s="130" t="s">
        <v>581</v>
      </c>
      <c r="G620" s="131" t="s">
        <v>905</v>
      </c>
      <c r="H620" s="130"/>
    </row>
    <row r="621" spans="4:8" x14ac:dyDescent="0.25">
      <c r="D621" t="str">
        <f t="shared" si="12"/>
        <v>35NEOENERGIA BRASÍLIA</v>
      </c>
      <c r="E621">
        <v>35</v>
      </c>
      <c r="F621" s="130" t="s">
        <v>581</v>
      </c>
      <c r="G621" s="131" t="s">
        <v>650</v>
      </c>
      <c r="H621" s="130"/>
    </row>
    <row r="622" spans="4:8" x14ac:dyDescent="0.25">
      <c r="D622" t="str">
        <f t="shared" si="12"/>
        <v>36NEOENERGIA BRASÍLIA</v>
      </c>
      <c r="E622">
        <v>36</v>
      </c>
      <c r="F622" s="130" t="s">
        <v>581</v>
      </c>
      <c r="G622" s="131" t="s">
        <v>906</v>
      </c>
      <c r="H622" s="130"/>
    </row>
    <row r="623" spans="4:8" x14ac:dyDescent="0.25">
      <c r="D623" t="str">
        <f t="shared" si="12"/>
        <v>37NEOENERGIA BRASÍLIA</v>
      </c>
      <c r="E623">
        <v>37</v>
      </c>
      <c r="F623" s="130" t="s">
        <v>581</v>
      </c>
      <c r="G623" s="131" t="s">
        <v>907</v>
      </c>
      <c r="H623" s="130"/>
    </row>
    <row r="624" spans="4:8" x14ac:dyDescent="0.25">
      <c r="D624" t="str">
        <f t="shared" si="12"/>
        <v>38NEOENERGIA BRASÍLIA</v>
      </c>
      <c r="E624">
        <v>38</v>
      </c>
      <c r="F624" s="130" t="s">
        <v>581</v>
      </c>
      <c r="G624" s="131" t="s">
        <v>653</v>
      </c>
      <c r="H624" s="130"/>
    </row>
    <row r="625" spans="4:8" x14ac:dyDescent="0.25">
      <c r="D625" t="str">
        <f t="shared" si="12"/>
        <v>39NEOENERGIA BRASÍLIA</v>
      </c>
      <c r="E625">
        <v>39</v>
      </c>
      <c r="F625" s="130" t="s">
        <v>581</v>
      </c>
      <c r="G625" s="131" t="s">
        <v>908</v>
      </c>
      <c r="H625" s="130"/>
    </row>
    <row r="626" spans="4:8" x14ac:dyDescent="0.25">
      <c r="D626" t="str">
        <f t="shared" si="12"/>
        <v>40NEOENERGIA BRASÍLIA</v>
      </c>
      <c r="E626">
        <v>40</v>
      </c>
      <c r="F626" s="130" t="s">
        <v>581</v>
      </c>
      <c r="G626" s="131" t="s">
        <v>655</v>
      </c>
      <c r="H626" s="130"/>
    </row>
    <row r="627" spans="4:8" x14ac:dyDescent="0.25">
      <c r="D627" t="str">
        <f t="shared" si="12"/>
        <v>41NEOENERGIA BRASÍLIA</v>
      </c>
      <c r="E627">
        <v>41</v>
      </c>
      <c r="F627" s="130" t="s">
        <v>581</v>
      </c>
      <c r="G627" s="131" t="s">
        <v>909</v>
      </c>
      <c r="H627" s="130"/>
    </row>
    <row r="628" spans="4:8" x14ac:dyDescent="0.25">
      <c r="D628" t="str">
        <f t="shared" si="12"/>
        <v>42NEOENERGIA BRASÍLIA</v>
      </c>
      <c r="E628">
        <v>42</v>
      </c>
      <c r="F628" s="130" t="s">
        <v>581</v>
      </c>
      <c r="G628" s="131" t="s">
        <v>910</v>
      </c>
      <c r="H628" s="130"/>
    </row>
    <row r="629" spans="4:8" x14ac:dyDescent="0.25">
      <c r="D629" t="str">
        <f t="shared" si="12"/>
        <v>43NEOENERGIA BRASÍLIA</v>
      </c>
      <c r="E629">
        <v>43</v>
      </c>
      <c r="F629" s="130" t="s">
        <v>581</v>
      </c>
      <c r="G629" s="131" t="s">
        <v>911</v>
      </c>
      <c r="H629" s="130"/>
    </row>
    <row r="630" spans="4:8" x14ac:dyDescent="0.25">
      <c r="D630" t="str">
        <f t="shared" si="12"/>
        <v>44NEOENERGIA BRASÍLIA</v>
      </c>
      <c r="E630">
        <v>44</v>
      </c>
      <c r="F630" s="130" t="s">
        <v>581</v>
      </c>
      <c r="G630" s="131" t="s">
        <v>663</v>
      </c>
      <c r="H630" s="130"/>
    </row>
    <row r="631" spans="4:8" x14ac:dyDescent="0.25">
      <c r="D631" t="str">
        <f t="shared" si="12"/>
        <v>45NEOENERGIA BRASÍLIA</v>
      </c>
      <c r="E631">
        <v>45</v>
      </c>
      <c r="F631" s="130" t="s">
        <v>581</v>
      </c>
      <c r="G631" s="131" t="s">
        <v>664</v>
      </c>
      <c r="H631" s="130"/>
    </row>
    <row r="632" spans="4:8" x14ac:dyDescent="0.25">
      <c r="D632" t="str">
        <f t="shared" si="12"/>
        <v>46NEOENERGIA BRASÍLIA</v>
      </c>
      <c r="E632">
        <v>46</v>
      </c>
      <c r="F632" s="130" t="s">
        <v>581</v>
      </c>
      <c r="G632" s="131" t="s">
        <v>665</v>
      </c>
      <c r="H632" s="130"/>
    </row>
    <row r="633" spans="4:8" x14ac:dyDescent="0.25">
      <c r="D633" t="str">
        <f t="shared" si="12"/>
        <v>47NEOENERGIA BRASÍLIA</v>
      </c>
      <c r="E633">
        <v>47</v>
      </c>
      <c r="F633" s="130" t="s">
        <v>581</v>
      </c>
      <c r="G633" s="131" t="s">
        <v>667</v>
      </c>
      <c r="H633" s="130"/>
    </row>
    <row r="634" spans="4:8" x14ac:dyDescent="0.25">
      <c r="D634" t="str">
        <f t="shared" si="12"/>
        <v>48NEOENERGIA BRASÍLIA</v>
      </c>
      <c r="E634">
        <v>48</v>
      </c>
      <c r="F634" s="130" t="s">
        <v>581</v>
      </c>
      <c r="G634" s="131" t="s">
        <v>912</v>
      </c>
      <c r="H634" s="130"/>
    </row>
    <row r="635" spans="4:8" x14ac:dyDescent="0.25">
      <c r="D635" t="str">
        <f t="shared" si="12"/>
        <v>49NEOENERGIA BRASÍLIA</v>
      </c>
      <c r="E635">
        <v>49</v>
      </c>
      <c r="F635" s="130" t="s">
        <v>581</v>
      </c>
      <c r="G635" s="131" t="s">
        <v>913</v>
      </c>
      <c r="H635" s="130"/>
    </row>
    <row r="636" spans="4:8" x14ac:dyDescent="0.25">
      <c r="D636" t="str">
        <f t="shared" si="12"/>
        <v>50NEOENERGIA BRASÍLIA</v>
      </c>
      <c r="E636">
        <v>50</v>
      </c>
      <c r="F636" s="130" t="s">
        <v>581</v>
      </c>
      <c r="G636" s="131" t="s">
        <v>670</v>
      </c>
      <c r="H636" s="130"/>
    </row>
    <row r="637" spans="4:8" x14ac:dyDescent="0.25">
      <c r="D637" t="str">
        <f t="shared" si="12"/>
        <v>51NEOENERGIA BRASÍLIA</v>
      </c>
      <c r="E637">
        <v>51</v>
      </c>
      <c r="F637" s="130" t="s">
        <v>581</v>
      </c>
      <c r="G637" s="131" t="s">
        <v>671</v>
      </c>
      <c r="H637" s="130"/>
    </row>
    <row r="638" spans="4:8" x14ac:dyDescent="0.25">
      <c r="D638" t="str">
        <f t="shared" si="12"/>
        <v>52NEOENERGIA BRASÍLIA</v>
      </c>
      <c r="E638">
        <v>52</v>
      </c>
      <c r="F638" s="130" t="s">
        <v>581</v>
      </c>
      <c r="G638" s="131" t="s">
        <v>914</v>
      </c>
      <c r="H638" s="130"/>
    </row>
    <row r="639" spans="4:8" x14ac:dyDescent="0.25">
      <c r="D639" t="str">
        <f t="shared" si="12"/>
        <v>53NEOENERGIA BRASÍLIA</v>
      </c>
      <c r="E639">
        <v>53</v>
      </c>
      <c r="F639" s="130" t="s">
        <v>581</v>
      </c>
      <c r="G639" s="131" t="s">
        <v>674</v>
      </c>
      <c r="H639" s="130"/>
    </row>
    <row r="640" spans="4:8" x14ac:dyDescent="0.25">
      <c r="D640" t="str">
        <f t="shared" si="12"/>
        <v>54NEOENERGIA BRASÍLIA</v>
      </c>
      <c r="E640">
        <v>54</v>
      </c>
      <c r="F640" s="130" t="s">
        <v>581</v>
      </c>
      <c r="G640" s="131" t="s">
        <v>915</v>
      </c>
      <c r="H640" s="130"/>
    </row>
    <row r="641" spans="4:8" x14ac:dyDescent="0.25">
      <c r="D641" t="str">
        <f t="shared" si="12"/>
        <v>55NEOENERGIA BRASÍLIA</v>
      </c>
      <c r="E641">
        <v>55</v>
      </c>
      <c r="F641" s="130" t="s">
        <v>581</v>
      </c>
      <c r="G641" s="131" t="s">
        <v>916</v>
      </c>
      <c r="H641" s="130"/>
    </row>
    <row r="642" spans="4:8" x14ac:dyDescent="0.25">
      <c r="D642" t="str">
        <f t="shared" si="12"/>
        <v>56NEOENERGIA BRASÍLIA</v>
      </c>
      <c r="E642">
        <v>56</v>
      </c>
      <c r="F642" s="130" t="s">
        <v>581</v>
      </c>
      <c r="G642" s="131" t="s">
        <v>917</v>
      </c>
      <c r="H642" s="130"/>
    </row>
    <row r="643" spans="4:8" x14ac:dyDescent="0.25">
      <c r="D643" t="str">
        <f t="shared" ref="D643:D699" si="13">E643&amp;F643</f>
        <v>57NEOENERGIA BRASÍLIA</v>
      </c>
      <c r="E643">
        <v>57</v>
      </c>
      <c r="F643" s="130" t="s">
        <v>581</v>
      </c>
      <c r="G643" s="131" t="s">
        <v>680</v>
      </c>
      <c r="H643" s="130"/>
    </row>
    <row r="644" spans="4:8" x14ac:dyDescent="0.25">
      <c r="D644" t="str">
        <f t="shared" si="13"/>
        <v>58NEOENERGIA BRASÍLIA</v>
      </c>
      <c r="E644">
        <v>58</v>
      </c>
      <c r="F644" s="130" t="s">
        <v>581</v>
      </c>
      <c r="G644" s="131" t="s">
        <v>918</v>
      </c>
      <c r="H644" s="130"/>
    </row>
    <row r="645" spans="4:8" x14ac:dyDescent="0.25">
      <c r="D645" t="str">
        <f t="shared" si="13"/>
        <v>59NEOENERGIA BRASÍLIA</v>
      </c>
      <c r="E645">
        <v>59</v>
      </c>
      <c r="F645" s="130" t="s">
        <v>581</v>
      </c>
      <c r="G645" s="131" t="s">
        <v>683</v>
      </c>
      <c r="H645" s="130"/>
    </row>
    <row r="646" spans="4:8" x14ac:dyDescent="0.25">
      <c r="D646" t="str">
        <f t="shared" si="13"/>
        <v>60NEOENERGIA BRASÍLIA</v>
      </c>
      <c r="E646">
        <v>60</v>
      </c>
      <c r="F646" s="130" t="s">
        <v>581</v>
      </c>
      <c r="G646" s="131" t="s">
        <v>684</v>
      </c>
      <c r="H646" s="130"/>
    </row>
    <row r="647" spans="4:8" x14ac:dyDescent="0.25">
      <c r="D647" t="str">
        <f t="shared" si="13"/>
        <v>61NEOENERGIA BRASÍLIA</v>
      </c>
      <c r="E647">
        <v>61</v>
      </c>
      <c r="F647" s="130" t="s">
        <v>581</v>
      </c>
      <c r="G647" s="131" t="s">
        <v>685</v>
      </c>
      <c r="H647" s="130"/>
    </row>
    <row r="648" spans="4:8" x14ac:dyDescent="0.25">
      <c r="D648" t="str">
        <f t="shared" si="13"/>
        <v>62NEOENERGIA BRASÍLIA</v>
      </c>
      <c r="E648">
        <v>62</v>
      </c>
      <c r="F648" s="130" t="s">
        <v>581</v>
      </c>
      <c r="G648" s="131" t="s">
        <v>687</v>
      </c>
      <c r="H648" s="130"/>
    </row>
    <row r="649" spans="4:8" x14ac:dyDescent="0.25">
      <c r="D649" t="str">
        <f t="shared" si="13"/>
        <v>63NEOENERGIA BRASÍLIA</v>
      </c>
      <c r="E649">
        <v>63</v>
      </c>
      <c r="F649" s="130" t="s">
        <v>581</v>
      </c>
      <c r="G649" s="131" t="s">
        <v>919</v>
      </c>
      <c r="H649" s="130"/>
    </row>
    <row r="650" spans="4:8" x14ac:dyDescent="0.25">
      <c r="D650" t="str">
        <f t="shared" si="13"/>
        <v>64NEOENERGIA BRASÍLIA</v>
      </c>
      <c r="E650">
        <v>64</v>
      </c>
      <c r="F650" s="130" t="s">
        <v>581</v>
      </c>
      <c r="G650" s="131" t="s">
        <v>759</v>
      </c>
      <c r="H650" s="130"/>
    </row>
    <row r="651" spans="4:8" x14ac:dyDescent="0.25">
      <c r="D651" t="str">
        <f t="shared" si="13"/>
        <v>65NEOENERGIA BRASÍLIA</v>
      </c>
      <c r="E651">
        <v>65</v>
      </c>
      <c r="F651" s="130" t="s">
        <v>581</v>
      </c>
      <c r="G651" s="131" t="s">
        <v>689</v>
      </c>
      <c r="H651" s="130"/>
    </row>
    <row r="652" spans="4:8" x14ac:dyDescent="0.25">
      <c r="D652" t="str">
        <f t="shared" si="13"/>
        <v>66NEOENERGIA BRASÍLIA</v>
      </c>
      <c r="E652">
        <v>66</v>
      </c>
      <c r="F652" s="130" t="s">
        <v>581</v>
      </c>
      <c r="G652" s="131" t="s">
        <v>690</v>
      </c>
      <c r="H652" s="130"/>
    </row>
    <row r="653" spans="4:8" x14ac:dyDescent="0.25">
      <c r="D653" t="str">
        <f t="shared" si="13"/>
        <v>67NEOENERGIA BRASÍLIA</v>
      </c>
      <c r="E653">
        <v>67</v>
      </c>
      <c r="F653" s="130" t="s">
        <v>581</v>
      </c>
      <c r="G653" s="131" t="s">
        <v>763</v>
      </c>
      <c r="H653" s="130"/>
    </row>
    <row r="654" spans="4:8" x14ac:dyDescent="0.25">
      <c r="D654" t="str">
        <f t="shared" si="13"/>
        <v>68NEOENERGIA BRASÍLIA</v>
      </c>
      <c r="E654">
        <v>68</v>
      </c>
      <c r="F654" s="130" t="s">
        <v>581</v>
      </c>
      <c r="G654" s="131" t="s">
        <v>920</v>
      </c>
      <c r="H654" s="130"/>
    </row>
    <row r="655" spans="4:8" x14ac:dyDescent="0.25">
      <c r="D655" t="str">
        <f t="shared" si="13"/>
        <v>69NEOENERGIA BRASÍLIA</v>
      </c>
      <c r="E655">
        <v>69</v>
      </c>
      <c r="F655" s="130" t="s">
        <v>581</v>
      </c>
      <c r="G655" s="131" t="s">
        <v>701</v>
      </c>
      <c r="H655" s="130"/>
    </row>
    <row r="656" spans="4:8" x14ac:dyDescent="0.25">
      <c r="D656" t="str">
        <f t="shared" si="13"/>
        <v>70NEOENERGIA BRASÍLIA</v>
      </c>
      <c r="E656">
        <v>70</v>
      </c>
      <c r="F656" s="130" t="s">
        <v>581</v>
      </c>
      <c r="G656" s="131" t="s">
        <v>703</v>
      </c>
      <c r="H656" s="130"/>
    </row>
    <row r="657" spans="4:8" x14ac:dyDescent="0.25">
      <c r="D657" t="str">
        <f t="shared" si="13"/>
        <v>71NEOENERGIA BRASÍLIA</v>
      </c>
      <c r="E657">
        <v>71</v>
      </c>
      <c r="F657" s="130" t="s">
        <v>581</v>
      </c>
      <c r="G657" s="131" t="s">
        <v>856</v>
      </c>
      <c r="H657" s="130"/>
    </row>
    <row r="658" spans="4:8" x14ac:dyDescent="0.25">
      <c r="D658" t="str">
        <f t="shared" si="13"/>
        <v>72NEOENERGIA BRASÍLIA</v>
      </c>
      <c r="E658">
        <v>72</v>
      </c>
      <c r="F658" s="130" t="s">
        <v>581</v>
      </c>
      <c r="G658" s="131" t="s">
        <v>772</v>
      </c>
      <c r="H658" s="130"/>
    </row>
    <row r="659" spans="4:8" x14ac:dyDescent="0.25">
      <c r="D659" t="str">
        <f t="shared" si="13"/>
        <v>73NEOENERGIA BRASÍLIA</v>
      </c>
      <c r="E659">
        <v>73</v>
      </c>
      <c r="F659" s="130" t="s">
        <v>581</v>
      </c>
      <c r="G659" s="131" t="s">
        <v>921</v>
      </c>
      <c r="H659" s="130"/>
    </row>
    <row r="660" spans="4:8" x14ac:dyDescent="0.25">
      <c r="D660" t="str">
        <f t="shared" si="13"/>
        <v>74NEOENERGIA BRASÍLIA</v>
      </c>
      <c r="E660">
        <v>74</v>
      </c>
      <c r="F660" s="130" t="s">
        <v>581</v>
      </c>
      <c r="G660" s="131" t="s">
        <v>922</v>
      </c>
      <c r="H660" s="130"/>
    </row>
    <row r="661" spans="4:8" x14ac:dyDescent="0.25">
      <c r="D661" t="str">
        <f t="shared" si="13"/>
        <v>75NEOENERGIA BRASÍLIA</v>
      </c>
      <c r="E661">
        <v>75</v>
      </c>
      <c r="F661" s="130" t="s">
        <v>581</v>
      </c>
      <c r="G661" s="131" t="s">
        <v>923</v>
      </c>
      <c r="H661" s="130"/>
    </row>
    <row r="662" spans="4:8" x14ac:dyDescent="0.25">
      <c r="D662" t="str">
        <f t="shared" si="13"/>
        <v>76NEOENERGIA BRASÍLIA</v>
      </c>
      <c r="E662">
        <v>76</v>
      </c>
      <c r="F662" s="130" t="s">
        <v>581</v>
      </c>
      <c r="G662" s="131" t="s">
        <v>924</v>
      </c>
      <c r="H662" s="130"/>
    </row>
    <row r="663" spans="4:8" x14ac:dyDescent="0.25">
      <c r="D663" t="str">
        <f t="shared" si="13"/>
        <v>1TERMOPERNAMBUCO</v>
      </c>
      <c r="E663">
        <v>1</v>
      </c>
      <c r="F663" s="130" t="s">
        <v>577</v>
      </c>
      <c r="G663" s="131" t="s">
        <v>607</v>
      </c>
      <c r="H663" s="130"/>
    </row>
    <row r="664" spans="4:8" x14ac:dyDescent="0.25">
      <c r="D664" t="str">
        <f t="shared" si="13"/>
        <v>2TERMOPERNAMBUCO</v>
      </c>
      <c r="E664">
        <v>2</v>
      </c>
      <c r="F664" s="130" t="s">
        <v>577</v>
      </c>
      <c r="G664" s="131" t="s">
        <v>895</v>
      </c>
      <c r="H664" s="130"/>
    </row>
    <row r="665" spans="4:8" x14ac:dyDescent="0.25">
      <c r="D665" t="str">
        <f t="shared" si="13"/>
        <v>3TERMOPERNAMBUCO</v>
      </c>
      <c r="E665">
        <v>3</v>
      </c>
      <c r="F665" s="130" t="s">
        <v>577</v>
      </c>
      <c r="G665" s="131" t="s">
        <v>925</v>
      </c>
      <c r="H665" s="130"/>
    </row>
    <row r="666" spans="4:8" x14ac:dyDescent="0.25">
      <c r="D666" t="str">
        <f t="shared" si="13"/>
        <v>1ELEKTRO RENOVAVEIS</v>
      </c>
      <c r="E666">
        <v>1</v>
      </c>
      <c r="F666" s="130" t="s">
        <v>926</v>
      </c>
      <c r="G666" s="130" t="s">
        <v>926</v>
      </c>
      <c r="H666" s="130"/>
    </row>
    <row r="667" spans="4:8" x14ac:dyDescent="0.25">
      <c r="D667" t="str">
        <f t="shared" si="13"/>
        <v>1ENERBRASIL</v>
      </c>
      <c r="E667">
        <v>1</v>
      </c>
      <c r="F667" s="130" t="s">
        <v>589</v>
      </c>
      <c r="G667" s="130" t="s">
        <v>589</v>
      </c>
      <c r="H667" s="130"/>
    </row>
    <row r="668" spans="4:8" x14ac:dyDescent="0.25">
      <c r="D668" t="str">
        <f t="shared" si="13"/>
        <v>1NEOENERGIA S.A.</v>
      </c>
      <c r="E668">
        <v>1</v>
      </c>
      <c r="F668" s="130" t="s">
        <v>583</v>
      </c>
      <c r="G668" s="131" t="s">
        <v>693</v>
      </c>
      <c r="H668" s="130"/>
    </row>
    <row r="669" spans="4:8" x14ac:dyDescent="0.25">
      <c r="D669" t="str">
        <f t="shared" si="13"/>
        <v>2NEOENERGIA S.A.</v>
      </c>
      <c r="E669">
        <v>2</v>
      </c>
      <c r="F669" s="130" t="s">
        <v>583</v>
      </c>
      <c r="G669" s="131" t="s">
        <v>927</v>
      </c>
      <c r="H669" s="130"/>
    </row>
    <row r="670" spans="4:8" x14ac:dyDescent="0.25">
      <c r="D670" t="str">
        <f t="shared" si="13"/>
        <v>3NEOENERGIA S.A.</v>
      </c>
      <c r="E670">
        <v>3</v>
      </c>
      <c r="F670" s="130" t="s">
        <v>583</v>
      </c>
      <c r="G670" s="131" t="s">
        <v>928</v>
      </c>
      <c r="H670" s="130"/>
    </row>
    <row r="671" spans="4:8" x14ac:dyDescent="0.25">
      <c r="D671" t="str">
        <f t="shared" si="13"/>
        <v>4NEOENERGIA S.A.</v>
      </c>
      <c r="E671">
        <v>4</v>
      </c>
      <c r="F671" s="130" t="s">
        <v>583</v>
      </c>
      <c r="G671" s="131" t="s">
        <v>762</v>
      </c>
      <c r="H671" s="130"/>
    </row>
    <row r="672" spans="4:8" x14ac:dyDescent="0.25">
      <c r="D672" t="str">
        <f t="shared" si="13"/>
        <v>5NEOENERGIA S.A.</v>
      </c>
      <c r="E672">
        <v>5</v>
      </c>
      <c r="F672" s="130" t="s">
        <v>583</v>
      </c>
      <c r="G672" s="131" t="s">
        <v>852</v>
      </c>
      <c r="H672" s="130"/>
    </row>
    <row r="673" spans="4:8" x14ac:dyDescent="0.25">
      <c r="D673" t="str">
        <f t="shared" si="13"/>
        <v>6NEOENERGIA S.A.</v>
      </c>
      <c r="E673">
        <v>6</v>
      </c>
      <c r="F673" s="130" t="s">
        <v>583</v>
      </c>
      <c r="G673" s="131" t="s">
        <v>694</v>
      </c>
      <c r="H673" s="130"/>
    </row>
    <row r="674" spans="4:8" x14ac:dyDescent="0.25">
      <c r="D674" t="str">
        <f t="shared" si="13"/>
        <v>7NEOENERGIA S.A.</v>
      </c>
      <c r="E674">
        <v>7</v>
      </c>
      <c r="F674" s="130" t="s">
        <v>583</v>
      </c>
      <c r="G674" s="131" t="s">
        <v>763</v>
      </c>
      <c r="H674" s="130"/>
    </row>
    <row r="675" spans="4:8" x14ac:dyDescent="0.25">
      <c r="D675" t="str">
        <f t="shared" si="13"/>
        <v>8NEOENERGIA S.A.</v>
      </c>
      <c r="E675">
        <v>8</v>
      </c>
      <c r="F675" s="130" t="s">
        <v>583</v>
      </c>
      <c r="G675" s="131" t="s">
        <v>896</v>
      </c>
      <c r="H675" s="130"/>
    </row>
    <row r="676" spans="4:8" x14ac:dyDescent="0.25">
      <c r="D676" t="str">
        <f t="shared" si="13"/>
        <v>9NEOENERGIA S.A.</v>
      </c>
      <c r="E676">
        <v>9</v>
      </c>
      <c r="F676" s="130" t="s">
        <v>583</v>
      </c>
      <c r="G676" s="131" t="s">
        <v>929</v>
      </c>
      <c r="H676" s="130"/>
    </row>
    <row r="677" spans="4:8" x14ac:dyDescent="0.25">
      <c r="D677" t="str">
        <f t="shared" si="13"/>
        <v>10NEOENERGIA S.A.</v>
      </c>
      <c r="E677">
        <v>10</v>
      </c>
      <c r="F677" s="130" t="s">
        <v>583</v>
      </c>
      <c r="G677" s="131" t="s">
        <v>697</v>
      </c>
      <c r="H677" s="130"/>
    </row>
    <row r="678" spans="4:8" x14ac:dyDescent="0.25">
      <c r="D678" t="str">
        <f t="shared" si="13"/>
        <v>1NEOENERGIA RENOVÁVEIS</v>
      </c>
      <c r="E678">
        <v>1</v>
      </c>
      <c r="F678" s="130" t="s">
        <v>573</v>
      </c>
      <c r="G678" s="131" t="s">
        <v>930</v>
      </c>
      <c r="H678" s="130"/>
    </row>
    <row r="679" spans="4:8" x14ac:dyDescent="0.25">
      <c r="D679" t="str">
        <f t="shared" si="13"/>
        <v>2NEOENERGIA RENOVÁVEIS</v>
      </c>
      <c r="E679">
        <v>2</v>
      </c>
      <c r="F679" s="130" t="s">
        <v>573</v>
      </c>
      <c r="G679" s="131" t="s">
        <v>868</v>
      </c>
      <c r="H679" s="130"/>
    </row>
    <row r="680" spans="4:8" x14ac:dyDescent="0.25">
      <c r="D680" t="str">
        <f t="shared" si="13"/>
        <v>3NEOENERGIA RENOVÁVEIS</v>
      </c>
      <c r="E680">
        <v>3</v>
      </c>
      <c r="F680" s="130" t="s">
        <v>573</v>
      </c>
      <c r="G680" s="131" t="s">
        <v>869</v>
      </c>
      <c r="H680" s="130"/>
    </row>
    <row r="681" spans="4:8" x14ac:dyDescent="0.25">
      <c r="D681" t="str">
        <f t="shared" si="13"/>
        <v>4NEOENERGIA RENOVÁVEIS</v>
      </c>
      <c r="E681">
        <v>4</v>
      </c>
      <c r="F681" s="130" t="s">
        <v>573</v>
      </c>
      <c r="G681" s="131" t="s">
        <v>592</v>
      </c>
      <c r="H681" s="130"/>
    </row>
    <row r="682" spans="4:8" x14ac:dyDescent="0.25">
      <c r="D682" t="str">
        <f t="shared" si="13"/>
        <v>5NEOENERGIA RENOVÁVEIS</v>
      </c>
      <c r="E682">
        <v>5</v>
      </c>
      <c r="F682" s="130" t="s">
        <v>573</v>
      </c>
      <c r="G682" s="131" t="s">
        <v>721</v>
      </c>
      <c r="H682" s="130"/>
    </row>
    <row r="683" spans="4:8" x14ac:dyDescent="0.25">
      <c r="D683" t="str">
        <f t="shared" si="13"/>
        <v>6NEOENERGIA RENOVÁVEIS</v>
      </c>
      <c r="E683">
        <v>6</v>
      </c>
      <c r="F683" s="130" t="s">
        <v>573</v>
      </c>
      <c r="G683" s="131" t="s">
        <v>871</v>
      </c>
      <c r="H683" s="130"/>
    </row>
    <row r="684" spans="4:8" x14ac:dyDescent="0.25">
      <c r="D684" t="str">
        <f t="shared" si="13"/>
        <v>7NEOENERGIA RENOVÁVEIS</v>
      </c>
      <c r="E684">
        <v>7</v>
      </c>
      <c r="F684" s="130" t="s">
        <v>573</v>
      </c>
      <c r="G684" s="131" t="s">
        <v>931</v>
      </c>
      <c r="H684" s="130"/>
    </row>
    <row r="685" spans="4:8" x14ac:dyDescent="0.25">
      <c r="D685" t="str">
        <f t="shared" si="13"/>
        <v>8NEOENERGIA RENOVÁVEIS</v>
      </c>
      <c r="E685">
        <v>8</v>
      </c>
      <c r="F685" s="130" t="s">
        <v>573</v>
      </c>
      <c r="G685" s="131" t="s">
        <v>932</v>
      </c>
      <c r="H685" s="130"/>
    </row>
    <row r="686" spans="4:8" x14ac:dyDescent="0.25">
      <c r="D686" t="str">
        <f t="shared" si="13"/>
        <v>9NEOENERGIA RENOVÁVEIS</v>
      </c>
      <c r="E686">
        <v>9</v>
      </c>
      <c r="F686" s="130" t="s">
        <v>573</v>
      </c>
      <c r="G686" s="131" t="s">
        <v>933</v>
      </c>
      <c r="H686" s="130"/>
    </row>
    <row r="687" spans="4:8" x14ac:dyDescent="0.25">
      <c r="D687" t="str">
        <f t="shared" si="13"/>
        <v>10NEOENERGIA RENOVÁVEIS</v>
      </c>
      <c r="E687">
        <v>10</v>
      </c>
      <c r="F687" s="130" t="s">
        <v>573</v>
      </c>
      <c r="G687" s="131" t="s">
        <v>934</v>
      </c>
      <c r="H687" s="130"/>
    </row>
    <row r="688" spans="4:8" x14ac:dyDescent="0.25">
      <c r="D688" t="str">
        <f t="shared" si="13"/>
        <v>11NEOENERGIA RENOVÁVEIS</v>
      </c>
      <c r="E688">
        <v>11</v>
      </c>
      <c r="F688" s="130" t="s">
        <v>573</v>
      </c>
      <c r="G688" s="131" t="s">
        <v>935</v>
      </c>
      <c r="H688" s="130"/>
    </row>
    <row r="689" spans="4:8" x14ac:dyDescent="0.25">
      <c r="D689" t="str">
        <f t="shared" si="13"/>
        <v>12NEOENERGIA RENOVÁVEIS</v>
      </c>
      <c r="E689">
        <v>12</v>
      </c>
      <c r="F689" s="130" t="s">
        <v>573</v>
      </c>
      <c r="G689" s="131" t="s">
        <v>936</v>
      </c>
      <c r="H689" s="130"/>
    </row>
    <row r="690" spans="4:8" x14ac:dyDescent="0.25">
      <c r="D690" t="str">
        <f t="shared" si="13"/>
        <v>13NEOENERGIA RENOVÁVEIS</v>
      </c>
      <c r="E690">
        <v>13</v>
      </c>
      <c r="F690" s="130" t="s">
        <v>573</v>
      </c>
      <c r="G690" s="131" t="s">
        <v>937</v>
      </c>
      <c r="H690" s="130"/>
    </row>
    <row r="691" spans="4:8" x14ac:dyDescent="0.25">
      <c r="D691" t="str">
        <f t="shared" si="13"/>
        <v>14NEOENERGIA RENOVÁVEIS</v>
      </c>
      <c r="E691">
        <v>14</v>
      </c>
      <c r="F691" s="130" t="s">
        <v>573</v>
      </c>
      <c r="G691" s="131" t="s">
        <v>938</v>
      </c>
      <c r="H691" s="130"/>
    </row>
    <row r="692" spans="4:8" x14ac:dyDescent="0.25">
      <c r="D692" t="str">
        <f t="shared" si="13"/>
        <v>15NEOENERGIA RENOVÁVEIS</v>
      </c>
      <c r="E692">
        <v>15</v>
      </c>
      <c r="F692" s="130" t="s">
        <v>573</v>
      </c>
      <c r="G692" s="131" t="s">
        <v>678</v>
      </c>
      <c r="H692" s="130"/>
    </row>
    <row r="693" spans="4:8" x14ac:dyDescent="0.25">
      <c r="D693" t="str">
        <f t="shared" si="13"/>
        <v>16NEOENERGIA RENOVÁVEIS</v>
      </c>
      <c r="E693">
        <v>16</v>
      </c>
      <c r="F693" s="130" t="s">
        <v>573</v>
      </c>
      <c r="G693" s="131" t="s">
        <v>877</v>
      </c>
      <c r="H693" s="130"/>
    </row>
    <row r="694" spans="4:8" x14ac:dyDescent="0.25">
      <c r="D694" t="str">
        <f t="shared" si="13"/>
        <v>17NEOENERGIA RENOVÁVEIS</v>
      </c>
      <c r="E694">
        <v>17</v>
      </c>
      <c r="F694" s="130" t="s">
        <v>573</v>
      </c>
      <c r="G694" s="131" t="s">
        <v>929</v>
      </c>
      <c r="H694" s="130"/>
    </row>
    <row r="695" spans="4:8" x14ac:dyDescent="0.25">
      <c r="D695" t="str">
        <f t="shared" si="13"/>
        <v>18NEOENERGIA RENOVÁVEIS</v>
      </c>
      <c r="E695">
        <v>18</v>
      </c>
      <c r="F695" s="130" t="s">
        <v>573</v>
      </c>
      <c r="G695" s="131" t="s">
        <v>706</v>
      </c>
      <c r="H695" s="130"/>
    </row>
    <row r="696" spans="4:8" x14ac:dyDescent="0.25">
      <c r="D696" t="str">
        <f t="shared" si="13"/>
        <v>19NEOENERGIA RENOVÁVEIS</v>
      </c>
      <c r="E696">
        <v>19</v>
      </c>
      <c r="F696" s="130" t="s">
        <v>573</v>
      </c>
      <c r="G696" s="131" t="s">
        <v>939</v>
      </c>
      <c r="H696" s="130"/>
    </row>
    <row r="697" spans="4:8" x14ac:dyDescent="0.25">
      <c r="D697" t="str">
        <f t="shared" si="13"/>
        <v>20NEOENERGIA RENOVÁVEIS</v>
      </c>
      <c r="E697">
        <v>20</v>
      </c>
      <c r="F697" s="130" t="s">
        <v>573</v>
      </c>
      <c r="G697" s="131" t="s">
        <v>940</v>
      </c>
      <c r="H697" s="130"/>
    </row>
    <row r="698" spans="4:8" x14ac:dyDescent="0.25">
      <c r="D698" t="str">
        <f t="shared" si="13"/>
        <v>21NEOENERGIA RENOVÁVEIS</v>
      </c>
      <c r="E698">
        <v>21</v>
      </c>
      <c r="F698" s="130" t="s">
        <v>573</v>
      </c>
      <c r="G698" s="131" t="s">
        <v>804</v>
      </c>
      <c r="H698" s="130"/>
    </row>
    <row r="699" spans="4:8" x14ac:dyDescent="0.25">
      <c r="D699" t="str">
        <f t="shared" si="13"/>
        <v>22NEOENERGIA RENOVÁVEIS</v>
      </c>
      <c r="E699">
        <v>22</v>
      </c>
      <c r="F699" s="130" t="s">
        <v>573</v>
      </c>
      <c r="G699" s="131" t="s">
        <v>941</v>
      </c>
      <c r="H699" s="130"/>
    </row>
  </sheetData>
  <pageMargins left="0.511811024" right="0.511811024" top="0.787401575" bottom="0.787401575" header="0.31496062" footer="0.31496062"/>
  <pageSetup paperSize="9" orientation="portrait" horizontalDpi="4294967295" verticalDpi="4294967295" scale="100" fitToWidth="1" fitToHeight="1" firstPageNumber="1" useFirstPageNumber="1" copies="1"/>
  <headerFooter>
    <oddFooter>&amp;C&amp;1#&amp;"Calibri"&amp;12&amp;K008000Internal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showGridLines="0" zoomScale="85" zoomScaleNormal="85"/>
  </sheetViews>
  <sheetFormatPr defaultRowHeight="15" outlineLevelRow="0" outlineLevelCol="0" x14ac:dyDescent="0.25"/>
  <sheetData/>
  <sheetProtection sheet="1" algorithmName="SHA-512" hashValue="CqDWzv0VIwZImj2zC/hfP2usP9OZqX8GMz52i6eJUKTdZZsK2bHcMKZuWXG6II2dog+fmlykgNJAqlCZYzMxhA==" saltValue="zDzn8FhiM2cCFMT/H5wy/Q==" spinCount="100000" objects="1" scenarios="1"/>
  <pageMargins left="0.511811024" right="0.511811024" top="0.787401575" bottom="0.787401575" header="0.31496062" footer="0.31496062"/>
  <pageSetup paperSize="9" orientation="portrait" horizontalDpi="4294967295" verticalDpi="4294967295" scale="100" fitToWidth="1" fitToHeight="1" firstPageNumber="1" useFirstPageNumber="1" copies="1"/>
  <headerFooter>
    <oddFooter>&amp;C&amp;1#&amp;"Calibri"&amp;12&amp;K008000Internal Use</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8"/>
  <sheetViews>
    <sheetView workbookViewId="0" showGridLines="0" zoomScale="100" zoomScaleNormal="100">
      <selection activeCell="E10" sqref="E10"/>
    </sheetView>
  </sheetViews>
  <sheetFormatPr defaultRowHeight="15" outlineLevelRow="0" outlineLevelCol="0" x14ac:dyDescent="0.25"/>
  <cols>
    <col min="1" max="1" width="18.5703125" customWidth="1"/>
    <col min="2" max="2" width="19.5703125" customWidth="1"/>
  </cols>
  <sheetData>
    <row r="1" spans="1:2" x14ac:dyDescent="0.25">
      <c r="A1" s="118" t="s">
        <v>97</v>
      </c>
      <c r="B1" s="118" t="s">
        <v>99</v>
      </c>
    </row>
    <row r="2" ht="30" customHeight="1" spans="1:2" x14ac:dyDescent="0.25">
      <c r="A2" s="118" t="s">
        <v>105</v>
      </c>
      <c r="B2" s="118" t="s">
        <v>106</v>
      </c>
    </row>
    <row r="3" ht="45" customHeight="1" spans="1:2" x14ac:dyDescent="0.25">
      <c r="A3" s="118" t="s">
        <v>108</v>
      </c>
      <c r="B3" s="118" t="s">
        <v>103</v>
      </c>
    </row>
    <row r="4" spans="1:2" x14ac:dyDescent="0.25">
      <c r="A4" s="118" t="s">
        <v>113</v>
      </c>
      <c r="B4" s="118" t="s">
        <v>106</v>
      </c>
    </row>
    <row r="5" ht="30" customHeight="1" spans="1:2" x14ac:dyDescent="0.25">
      <c r="A5" s="118" t="s">
        <v>115</v>
      </c>
      <c r="B5" s="118" t="s">
        <v>99</v>
      </c>
    </row>
    <row r="6" spans="1:2" x14ac:dyDescent="0.25">
      <c r="A6" s="118" t="s">
        <v>118</v>
      </c>
      <c r="B6" s="118" t="s">
        <v>103</v>
      </c>
    </row>
    <row r="7" ht="30" customHeight="1" spans="1:2" x14ac:dyDescent="0.25">
      <c r="A7" s="118" t="s">
        <v>120</v>
      </c>
      <c r="B7" s="118" t="s">
        <v>111</v>
      </c>
    </row>
    <row r="8" ht="30" customHeight="1" spans="1:2" x14ac:dyDescent="0.25">
      <c r="A8" s="118" t="s">
        <v>121</v>
      </c>
      <c r="B8" s="118" t="s">
        <v>123</v>
      </c>
    </row>
    <row r="9" ht="45" customHeight="1" spans="1:2" x14ac:dyDescent="0.25">
      <c r="A9" s="118" t="s">
        <v>124</v>
      </c>
      <c r="B9" s="118" t="s">
        <v>99</v>
      </c>
    </row>
    <row r="10" ht="30" customHeight="1" spans="1:2" x14ac:dyDescent="0.25">
      <c r="A10" s="118" t="s">
        <v>126</v>
      </c>
      <c r="B10" s="118" t="s">
        <v>111</v>
      </c>
    </row>
    <row r="11" ht="30" customHeight="1" spans="1:2" x14ac:dyDescent="0.25">
      <c r="A11" s="118" t="s">
        <v>127</v>
      </c>
      <c r="B11" s="118" t="s">
        <v>111</v>
      </c>
    </row>
    <row r="12" ht="30" customHeight="1" spans="1:2" x14ac:dyDescent="0.25">
      <c r="A12" s="118" t="s">
        <v>130</v>
      </c>
      <c r="B12" s="118" t="s">
        <v>103</v>
      </c>
    </row>
    <row r="13" ht="45" customHeight="1" spans="1:2" x14ac:dyDescent="0.25">
      <c r="A13" s="118" t="s">
        <v>132</v>
      </c>
      <c r="B13" s="118" t="s">
        <v>103</v>
      </c>
    </row>
    <row r="14" ht="30" customHeight="1" spans="1:2" x14ac:dyDescent="0.25">
      <c r="A14" s="118" t="s">
        <v>134</v>
      </c>
      <c r="B14" s="118" t="s">
        <v>103</v>
      </c>
    </row>
    <row r="15" ht="30" customHeight="1" spans="1:2" x14ac:dyDescent="0.25">
      <c r="A15" s="118" t="s">
        <v>136</v>
      </c>
      <c r="B15" s="118" t="s">
        <v>103</v>
      </c>
    </row>
    <row r="16" ht="75" customHeight="1" spans="1:2" x14ac:dyDescent="0.25">
      <c r="A16" s="118" t="s">
        <v>138</v>
      </c>
      <c r="B16" s="118" t="s">
        <v>140</v>
      </c>
    </row>
    <row r="17" ht="30" customHeight="1" spans="1:2" x14ac:dyDescent="0.25">
      <c r="A17" s="118" t="s">
        <v>142</v>
      </c>
      <c r="B17" s="118" t="s">
        <v>99</v>
      </c>
    </row>
    <row r="18" ht="30" customHeight="1" spans="1:2" x14ac:dyDescent="0.25">
      <c r="A18" s="118" t="s">
        <v>144</v>
      </c>
      <c r="B18" s="118" t="s">
        <v>146</v>
      </c>
    </row>
    <row r="19" ht="30" customHeight="1" spans="1:2" x14ac:dyDescent="0.25">
      <c r="A19" s="118" t="s">
        <v>148</v>
      </c>
      <c r="B19" s="118" t="s">
        <v>106</v>
      </c>
    </row>
    <row r="20" ht="60" customHeight="1" spans="1:2" x14ac:dyDescent="0.25">
      <c r="A20" s="118" t="s">
        <v>151</v>
      </c>
      <c r="B20" s="118" t="s">
        <v>103</v>
      </c>
    </row>
    <row r="21" ht="45" customHeight="1" spans="1:2" x14ac:dyDescent="0.25">
      <c r="A21" s="118" t="s">
        <v>154</v>
      </c>
      <c r="B21" s="118" t="s">
        <v>99</v>
      </c>
    </row>
    <row r="22" ht="90" customHeight="1" spans="1:2" x14ac:dyDescent="0.25">
      <c r="A22" s="118" t="s">
        <v>156</v>
      </c>
      <c r="B22" s="118" t="s">
        <v>111</v>
      </c>
    </row>
    <row r="23" ht="90" customHeight="1" spans="1:2" x14ac:dyDescent="0.25">
      <c r="A23" s="118" t="s">
        <v>158</v>
      </c>
      <c r="B23" s="118" t="s">
        <v>103</v>
      </c>
    </row>
    <row r="24" ht="60" customHeight="1" spans="1:2" x14ac:dyDescent="0.25">
      <c r="A24" s="118" t="s">
        <v>160</v>
      </c>
      <c r="B24" s="118" t="s">
        <v>111</v>
      </c>
    </row>
    <row r="25" ht="30" customHeight="1" spans="1:2" x14ac:dyDescent="0.25">
      <c r="A25" s="118" t="s">
        <v>163</v>
      </c>
      <c r="B25" s="118" t="s">
        <v>111</v>
      </c>
    </row>
    <row r="26" ht="45" customHeight="1" spans="1:2" x14ac:dyDescent="0.25">
      <c r="A26" s="118" t="s">
        <v>166</v>
      </c>
      <c r="B26" s="118" t="s">
        <v>111</v>
      </c>
    </row>
    <row r="27" ht="30" customHeight="1" spans="1:2" x14ac:dyDescent="0.25">
      <c r="A27" s="118" t="s">
        <v>167</v>
      </c>
      <c r="B27" s="118" t="s">
        <v>99</v>
      </c>
    </row>
    <row r="28" ht="30" customHeight="1" spans="1:2" x14ac:dyDescent="0.25">
      <c r="A28" s="118" t="s">
        <v>169</v>
      </c>
      <c r="B28" s="118" t="s">
        <v>99</v>
      </c>
    </row>
    <row r="29" spans="1:2" x14ac:dyDescent="0.25">
      <c r="A29" s="118" t="s">
        <v>170</v>
      </c>
      <c r="B29" s="118" t="s">
        <v>140</v>
      </c>
    </row>
    <row r="30" spans="1:2" x14ac:dyDescent="0.25">
      <c r="A30" s="118" t="s">
        <v>172</v>
      </c>
      <c r="B30" s="118" t="s">
        <v>123</v>
      </c>
    </row>
    <row r="31" ht="30" customHeight="1" spans="1:2" x14ac:dyDescent="0.25">
      <c r="A31" s="118" t="s">
        <v>175</v>
      </c>
      <c r="B31" s="118" t="s">
        <v>99</v>
      </c>
    </row>
    <row r="32" ht="30" customHeight="1" spans="1:2" x14ac:dyDescent="0.25">
      <c r="A32" s="118" t="s">
        <v>177</v>
      </c>
      <c r="B32" s="118" t="s">
        <v>99</v>
      </c>
    </row>
    <row r="33" ht="45" customHeight="1" spans="1:2" x14ac:dyDescent="0.25">
      <c r="A33" s="118" t="s">
        <v>178</v>
      </c>
      <c r="B33" s="118" t="s">
        <v>111</v>
      </c>
    </row>
    <row r="34" ht="60" customHeight="1" spans="1:2" x14ac:dyDescent="0.25">
      <c r="A34" s="118" t="s">
        <v>179</v>
      </c>
      <c r="B34" s="118" t="s">
        <v>140</v>
      </c>
    </row>
    <row r="35" ht="30" customHeight="1" spans="1:2" x14ac:dyDescent="0.25">
      <c r="A35" s="118" t="s">
        <v>181</v>
      </c>
      <c r="B35" s="118" t="s">
        <v>111</v>
      </c>
    </row>
    <row r="36" ht="45" customHeight="1" spans="1:2" x14ac:dyDescent="0.25">
      <c r="A36" s="118" t="s">
        <v>184</v>
      </c>
      <c r="B36" s="118" t="s">
        <v>140</v>
      </c>
    </row>
    <row r="37" ht="30" customHeight="1" spans="1:2" x14ac:dyDescent="0.25">
      <c r="A37" s="118" t="s">
        <v>186</v>
      </c>
      <c r="B37" s="118" t="s">
        <v>99</v>
      </c>
    </row>
    <row r="38" ht="60" customHeight="1" spans="1:2" x14ac:dyDescent="0.25">
      <c r="A38" s="118" t="s">
        <v>189</v>
      </c>
      <c r="B38" s="118" t="s">
        <v>111</v>
      </c>
    </row>
    <row r="39" ht="60" customHeight="1" spans="1:2" x14ac:dyDescent="0.25">
      <c r="A39" s="118" t="s">
        <v>191</v>
      </c>
      <c r="B39" s="118" t="s">
        <v>106</v>
      </c>
    </row>
    <row r="40" ht="30" customHeight="1" spans="1:2" x14ac:dyDescent="0.25">
      <c r="A40" s="118" t="s">
        <v>193</v>
      </c>
      <c r="B40" s="118" t="s">
        <v>99</v>
      </c>
    </row>
    <row r="41" ht="120" customHeight="1" spans="1:2" x14ac:dyDescent="0.25">
      <c r="A41" s="118" t="s">
        <v>195</v>
      </c>
      <c r="B41" s="118" t="s">
        <v>99</v>
      </c>
    </row>
    <row r="42" ht="30" customHeight="1" spans="1:2" x14ac:dyDescent="0.25">
      <c r="A42" s="118" t="s">
        <v>198</v>
      </c>
      <c r="B42" s="118" t="s">
        <v>111</v>
      </c>
    </row>
    <row r="43" ht="30" customHeight="1" spans="1:2" x14ac:dyDescent="0.25">
      <c r="A43" s="118" t="s">
        <v>200</v>
      </c>
      <c r="B43" s="118" t="s">
        <v>111</v>
      </c>
    </row>
    <row r="44" ht="45" customHeight="1" spans="1:2" x14ac:dyDescent="0.25">
      <c r="A44" s="118" t="s">
        <v>203</v>
      </c>
      <c r="B44" s="118" t="s">
        <v>111</v>
      </c>
    </row>
    <row r="45" ht="45" customHeight="1" spans="1:2" x14ac:dyDescent="0.25">
      <c r="A45" s="118" t="s">
        <v>205</v>
      </c>
      <c r="B45" s="118" t="s">
        <v>99</v>
      </c>
    </row>
    <row r="46" ht="30" customHeight="1" spans="1:2" x14ac:dyDescent="0.25">
      <c r="A46" s="118" t="s">
        <v>206</v>
      </c>
      <c r="B46" s="118" t="s">
        <v>103</v>
      </c>
    </row>
    <row r="47" ht="45" customHeight="1" spans="1:2" x14ac:dyDescent="0.25">
      <c r="A47" s="118" t="s">
        <v>209</v>
      </c>
      <c r="B47" s="118" t="s">
        <v>103</v>
      </c>
    </row>
    <row r="48" ht="45" customHeight="1" spans="1:2" x14ac:dyDescent="0.25">
      <c r="A48" s="118" t="s">
        <v>211</v>
      </c>
      <c r="B48" s="118" t="s">
        <v>111</v>
      </c>
    </row>
    <row r="49" ht="30" customHeight="1" spans="1:2" x14ac:dyDescent="0.25">
      <c r="A49" s="118" t="s">
        <v>213</v>
      </c>
      <c r="B49" s="118" t="s">
        <v>99</v>
      </c>
    </row>
    <row r="50" ht="75" customHeight="1" spans="1:2" x14ac:dyDescent="0.25">
      <c r="A50" s="118" t="s">
        <v>215</v>
      </c>
      <c r="B50" s="118" t="s">
        <v>103</v>
      </c>
    </row>
    <row r="51" ht="30" customHeight="1" spans="1:2" x14ac:dyDescent="0.25">
      <c r="A51" s="118" t="s">
        <v>217</v>
      </c>
      <c r="B51" s="118" t="s">
        <v>111</v>
      </c>
    </row>
    <row r="52" ht="30" customHeight="1" spans="1:2" x14ac:dyDescent="0.25">
      <c r="A52" s="118" t="s">
        <v>219</v>
      </c>
      <c r="B52" s="118" t="s">
        <v>111</v>
      </c>
    </row>
    <row r="53" ht="60" customHeight="1" spans="1:2" x14ac:dyDescent="0.25">
      <c r="A53" s="118" t="s">
        <v>220</v>
      </c>
      <c r="B53" s="118" t="s">
        <v>111</v>
      </c>
    </row>
    <row r="54" ht="75" customHeight="1" spans="1:2" x14ac:dyDescent="0.25">
      <c r="A54" s="118" t="s">
        <v>222</v>
      </c>
      <c r="B54" s="118" t="s">
        <v>103</v>
      </c>
    </row>
    <row r="55" ht="30" customHeight="1" spans="1:2" x14ac:dyDescent="0.25">
      <c r="A55" s="118" t="s">
        <v>225</v>
      </c>
      <c r="B55" s="118" t="s">
        <v>103</v>
      </c>
    </row>
    <row r="56" ht="45" customHeight="1" spans="1:2" x14ac:dyDescent="0.25">
      <c r="A56" s="118" t="s">
        <v>227</v>
      </c>
      <c r="B56" s="118" t="s">
        <v>123</v>
      </c>
    </row>
    <row r="57" ht="60" customHeight="1" spans="1:2" x14ac:dyDescent="0.25">
      <c r="A57" s="118" t="s">
        <v>229</v>
      </c>
      <c r="B57" s="118" t="s">
        <v>146</v>
      </c>
    </row>
    <row r="58" ht="60" customHeight="1" spans="1:2" x14ac:dyDescent="0.25">
      <c r="A58" s="118" t="s">
        <v>231</v>
      </c>
      <c r="B58" s="118" t="s">
        <v>111</v>
      </c>
    </row>
    <row r="59" ht="30" customHeight="1" spans="1:2" x14ac:dyDescent="0.25">
      <c r="A59" s="118" t="s">
        <v>232</v>
      </c>
      <c r="B59" s="118" t="s">
        <v>111</v>
      </c>
    </row>
    <row r="60" ht="30" customHeight="1" spans="1:2" x14ac:dyDescent="0.25">
      <c r="A60" s="118" t="s">
        <v>233</v>
      </c>
      <c r="B60" s="118" t="s">
        <v>106</v>
      </c>
    </row>
    <row r="61" ht="45" customHeight="1" spans="1:2" x14ac:dyDescent="0.25">
      <c r="A61" s="118" t="s">
        <v>235</v>
      </c>
      <c r="B61" s="118" t="s">
        <v>106</v>
      </c>
    </row>
    <row r="62" ht="45" customHeight="1" spans="1:2" x14ac:dyDescent="0.25">
      <c r="A62" s="118" t="s">
        <v>236</v>
      </c>
      <c r="B62" s="118" t="s">
        <v>106</v>
      </c>
    </row>
    <row r="63" ht="60" customHeight="1" spans="1:2" x14ac:dyDescent="0.25">
      <c r="A63" s="118" t="s">
        <v>237</v>
      </c>
      <c r="B63" s="118" t="s">
        <v>106</v>
      </c>
    </row>
    <row r="64" ht="45" customHeight="1" spans="1:2" x14ac:dyDescent="0.25">
      <c r="A64" s="118" t="s">
        <v>238</v>
      </c>
      <c r="B64" s="118" t="s">
        <v>106</v>
      </c>
    </row>
    <row r="65" ht="45" customHeight="1" spans="1:2" x14ac:dyDescent="0.25">
      <c r="A65" s="118" t="s">
        <v>239</v>
      </c>
      <c r="B65" s="118" t="s">
        <v>111</v>
      </c>
    </row>
    <row r="66" ht="30" customHeight="1" spans="1:2" x14ac:dyDescent="0.25">
      <c r="A66" s="118" t="s">
        <v>240</v>
      </c>
      <c r="B66" s="118" t="s">
        <v>111</v>
      </c>
    </row>
    <row r="67" ht="30" customHeight="1" spans="1:2" x14ac:dyDescent="0.25">
      <c r="A67" s="118" t="s">
        <v>242</v>
      </c>
      <c r="B67" s="118" t="s">
        <v>99</v>
      </c>
    </row>
    <row r="68" ht="60" customHeight="1" spans="1:2" x14ac:dyDescent="0.25">
      <c r="A68" s="118" t="s">
        <v>244</v>
      </c>
      <c r="B68" s="118" t="s">
        <v>146</v>
      </c>
    </row>
    <row r="69" ht="30" customHeight="1" spans="1:2" x14ac:dyDescent="0.25">
      <c r="A69" s="118" t="s">
        <v>246</v>
      </c>
      <c r="B69" s="118" t="s">
        <v>247</v>
      </c>
    </row>
    <row r="70" ht="90" customHeight="1" spans="1:2" x14ac:dyDescent="0.25">
      <c r="A70" s="118" t="s">
        <v>248</v>
      </c>
      <c r="B70" s="118" t="s">
        <v>146</v>
      </c>
    </row>
    <row r="71" ht="30" customHeight="1" spans="1:2" x14ac:dyDescent="0.25">
      <c r="A71" s="118" t="s">
        <v>250</v>
      </c>
      <c r="B71" s="118" t="s">
        <v>146</v>
      </c>
    </row>
    <row r="72" ht="45" customHeight="1" spans="1:2" x14ac:dyDescent="0.25">
      <c r="A72" s="118" t="s">
        <v>252</v>
      </c>
      <c r="B72" s="118" t="s">
        <v>146</v>
      </c>
    </row>
    <row r="73" spans="1:2" x14ac:dyDescent="0.25">
      <c r="A73" s="118" t="s">
        <v>254</v>
      </c>
      <c r="B73" s="118" t="s">
        <v>146</v>
      </c>
    </row>
    <row r="74" ht="45" customHeight="1" spans="1:2" x14ac:dyDescent="0.25">
      <c r="A74" s="118" t="s">
        <v>256</v>
      </c>
      <c r="B74" s="118" t="s">
        <v>146</v>
      </c>
    </row>
    <row r="75" spans="1:2" x14ac:dyDescent="0.25">
      <c r="A75" s="118" t="s">
        <v>258</v>
      </c>
      <c r="B75" s="118" t="s">
        <v>146</v>
      </c>
    </row>
    <row r="76" ht="30" customHeight="1" spans="1:2" x14ac:dyDescent="0.25">
      <c r="A76" s="118" t="s">
        <v>260</v>
      </c>
      <c r="B76" s="118" t="s">
        <v>146</v>
      </c>
    </row>
    <row r="77" spans="1:2" x14ac:dyDescent="0.25">
      <c r="A77" s="118" t="s">
        <v>262</v>
      </c>
      <c r="B77" s="118" t="s">
        <v>146</v>
      </c>
    </row>
    <row r="78" ht="30" customHeight="1" spans="1:2" x14ac:dyDescent="0.25">
      <c r="A78" s="118" t="s">
        <v>264</v>
      </c>
      <c r="B78" s="118" t="s">
        <v>146</v>
      </c>
    </row>
    <row r="79" spans="1:2" x14ac:dyDescent="0.25">
      <c r="A79" s="118" t="s">
        <v>266</v>
      </c>
      <c r="B79" s="118" t="s">
        <v>146</v>
      </c>
    </row>
    <row r="80" spans="1:2" x14ac:dyDescent="0.25">
      <c r="A80" s="118" t="s">
        <v>268</v>
      </c>
      <c r="B80" s="118" t="s">
        <v>269</v>
      </c>
    </row>
    <row r="81" ht="30" customHeight="1" spans="1:2" x14ac:dyDescent="0.25">
      <c r="A81" s="118" t="s">
        <v>271</v>
      </c>
      <c r="B81" s="118" t="s">
        <v>272</v>
      </c>
    </row>
    <row r="82" spans="1:2" x14ac:dyDescent="0.25">
      <c r="A82" s="118" t="s">
        <v>274</v>
      </c>
      <c r="B82" s="118" t="s">
        <v>146</v>
      </c>
    </row>
    <row r="83" ht="30" customHeight="1" spans="1:2" x14ac:dyDescent="0.25">
      <c r="A83" s="118" t="s">
        <v>275</v>
      </c>
      <c r="B83" s="118" t="s">
        <v>146</v>
      </c>
    </row>
    <row r="84" ht="60" customHeight="1" spans="1:2" x14ac:dyDescent="0.25">
      <c r="A84" s="118" t="s">
        <v>277</v>
      </c>
      <c r="B84" s="118" t="s">
        <v>146</v>
      </c>
    </row>
    <row r="85" spans="1:2" x14ac:dyDescent="0.25">
      <c r="A85" s="118" t="s">
        <v>278</v>
      </c>
      <c r="B85" s="118" t="s">
        <v>146</v>
      </c>
    </row>
    <row r="86" spans="1:2" x14ac:dyDescent="0.25">
      <c r="A86" s="118" t="s">
        <v>280</v>
      </c>
      <c r="B86" s="118" t="s">
        <v>269</v>
      </c>
    </row>
    <row r="87" spans="1:2" x14ac:dyDescent="0.25">
      <c r="A87" s="118" t="s">
        <v>282</v>
      </c>
      <c r="B87" s="118" t="s">
        <v>146</v>
      </c>
    </row>
    <row r="88" spans="1:2" x14ac:dyDescent="0.25">
      <c r="A88" s="118" t="s">
        <v>284</v>
      </c>
      <c r="B88" s="118" t="s">
        <v>146</v>
      </c>
    </row>
    <row r="89" spans="1:2" x14ac:dyDescent="0.25">
      <c r="A89" s="118" t="s">
        <v>286</v>
      </c>
      <c r="B89" s="118" t="s">
        <v>146</v>
      </c>
    </row>
    <row r="90" spans="1:2" x14ac:dyDescent="0.25">
      <c r="A90" s="118" t="s">
        <v>287</v>
      </c>
      <c r="B90" s="118" t="s">
        <v>146</v>
      </c>
    </row>
    <row r="91" ht="30" customHeight="1" spans="1:2" x14ac:dyDescent="0.25">
      <c r="A91" s="118" t="s">
        <v>289</v>
      </c>
      <c r="B91" s="118" t="s">
        <v>99</v>
      </c>
    </row>
    <row r="92" spans="1:2" x14ac:dyDescent="0.25">
      <c r="A92" s="118" t="s">
        <v>291</v>
      </c>
      <c r="B92" s="118" t="s">
        <v>146</v>
      </c>
    </row>
    <row r="93" spans="1:2" x14ac:dyDescent="0.25">
      <c r="A93" s="118" t="s">
        <v>293</v>
      </c>
      <c r="B93" s="118" t="s">
        <v>146</v>
      </c>
    </row>
    <row r="94" spans="1:2" x14ac:dyDescent="0.25">
      <c r="A94" s="118" t="s">
        <v>294</v>
      </c>
      <c r="B94" s="118" t="s">
        <v>146</v>
      </c>
    </row>
    <row r="95" ht="45" customHeight="1" spans="1:2" x14ac:dyDescent="0.25">
      <c r="A95" s="118" t="s">
        <v>296</v>
      </c>
      <c r="B95" s="118" t="s">
        <v>146</v>
      </c>
    </row>
    <row r="96" ht="30" customHeight="1" spans="1:2" x14ac:dyDescent="0.25">
      <c r="A96" s="118" t="s">
        <v>298</v>
      </c>
      <c r="B96" s="118" t="s">
        <v>99</v>
      </c>
    </row>
    <row r="97" ht="45" customHeight="1" spans="1:2" x14ac:dyDescent="0.25">
      <c r="A97" s="118" t="s">
        <v>302</v>
      </c>
      <c r="B97" s="118" t="s">
        <v>146</v>
      </c>
    </row>
    <row r="98" ht="90" customHeight="1" spans="1:2" x14ac:dyDescent="0.25">
      <c r="A98" s="118" t="s">
        <v>305</v>
      </c>
      <c r="B98" s="118" t="s">
        <v>146</v>
      </c>
    </row>
    <row r="99" ht="30" customHeight="1" spans="1:2" x14ac:dyDescent="0.25">
      <c r="A99" s="118" t="s">
        <v>307</v>
      </c>
      <c r="B99" s="118" t="s">
        <v>146</v>
      </c>
    </row>
    <row r="100" spans="1:2" x14ac:dyDescent="0.25">
      <c r="A100" s="118" t="s">
        <v>308</v>
      </c>
      <c r="B100" s="118" t="s">
        <v>146</v>
      </c>
    </row>
    <row r="101" ht="60" customHeight="1" spans="1:2" x14ac:dyDescent="0.25">
      <c r="A101" s="118" t="s">
        <v>310</v>
      </c>
      <c r="B101" s="118" t="s">
        <v>146</v>
      </c>
    </row>
    <row r="102" spans="1:2" x14ac:dyDescent="0.25">
      <c r="A102" s="118" t="s">
        <v>312</v>
      </c>
      <c r="B102" s="118" t="s">
        <v>146</v>
      </c>
    </row>
    <row r="103" ht="45" customHeight="1" spans="1:2" x14ac:dyDescent="0.25">
      <c r="A103" s="118" t="s">
        <v>315</v>
      </c>
      <c r="B103" s="118" t="s">
        <v>316</v>
      </c>
    </row>
    <row r="104" ht="45" customHeight="1" spans="1:2" x14ac:dyDescent="0.25">
      <c r="A104" s="122" t="s">
        <v>318</v>
      </c>
      <c r="B104" s="118" t="s">
        <v>99</v>
      </c>
    </row>
    <row r="105" ht="30" customHeight="1" spans="1:2" x14ac:dyDescent="0.25">
      <c r="A105" s="118" t="s">
        <v>320</v>
      </c>
      <c r="B105" s="118" t="s">
        <v>111</v>
      </c>
    </row>
    <row r="106" ht="30" customHeight="1" spans="1:2" x14ac:dyDescent="0.25">
      <c r="A106" s="118" t="s">
        <v>20</v>
      </c>
      <c r="B106" s="118" t="s">
        <v>103</v>
      </c>
    </row>
    <row r="107" ht="30" customHeight="1" spans="1:2" x14ac:dyDescent="0.25">
      <c r="A107" s="118" t="s">
        <v>323</v>
      </c>
      <c r="B107" s="118" t="s">
        <v>111</v>
      </c>
    </row>
    <row r="108" spans="1:2" x14ac:dyDescent="0.25">
      <c r="A108" s="118" t="s">
        <v>326</v>
      </c>
      <c r="B108" s="118" t="s">
        <v>99</v>
      </c>
    </row>
    <row r="109" ht="30" customHeight="1" spans="1:2" x14ac:dyDescent="0.25">
      <c r="A109" s="118" t="s">
        <v>328</v>
      </c>
      <c r="B109" s="118" t="s">
        <v>146</v>
      </c>
    </row>
    <row r="110" ht="30" customHeight="1" spans="1:2" x14ac:dyDescent="0.25">
      <c r="A110" s="118" t="s">
        <v>330</v>
      </c>
      <c r="B110" s="118" t="s">
        <v>111</v>
      </c>
    </row>
    <row r="111" ht="30" customHeight="1" spans="1:2" x14ac:dyDescent="0.25">
      <c r="A111" s="118" t="s">
        <v>332</v>
      </c>
      <c r="B111" s="118" t="s">
        <v>99</v>
      </c>
    </row>
    <row r="112" ht="45" customHeight="1" spans="1:2" x14ac:dyDescent="0.25">
      <c r="A112" s="118" t="s">
        <v>335</v>
      </c>
      <c r="B112" s="118" t="s">
        <v>99</v>
      </c>
    </row>
    <row r="113" ht="30" customHeight="1" spans="1:2" x14ac:dyDescent="0.25">
      <c r="A113" s="118" t="s">
        <v>337</v>
      </c>
      <c r="B113" s="118" t="s">
        <v>111</v>
      </c>
    </row>
    <row r="114" ht="30" customHeight="1" spans="1:2" x14ac:dyDescent="0.25">
      <c r="A114" s="118" t="s">
        <v>339</v>
      </c>
      <c r="B114" s="118" t="s">
        <v>111</v>
      </c>
    </row>
    <row r="115" ht="45" customHeight="1" spans="1:2" x14ac:dyDescent="0.25">
      <c r="A115" s="118" t="s">
        <v>340</v>
      </c>
      <c r="B115" s="118" t="s">
        <v>111</v>
      </c>
    </row>
    <row r="116" ht="60" customHeight="1" spans="1:2" x14ac:dyDescent="0.25">
      <c r="A116" s="118" t="s">
        <v>342</v>
      </c>
      <c r="B116" s="118" t="s">
        <v>99</v>
      </c>
    </row>
    <row r="117" spans="1:2" x14ac:dyDescent="0.25">
      <c r="A117" s="118" t="s">
        <v>344</v>
      </c>
      <c r="B117" s="118" t="s">
        <v>99</v>
      </c>
    </row>
    <row r="118" ht="30" customHeight="1" spans="1:2" x14ac:dyDescent="0.25">
      <c r="A118" s="118" t="s">
        <v>346</v>
      </c>
      <c r="B118" s="118" t="s">
        <v>111</v>
      </c>
    </row>
    <row r="119" ht="45" customHeight="1" spans="1:2" x14ac:dyDescent="0.25">
      <c r="A119" s="118" t="s">
        <v>349</v>
      </c>
      <c r="B119" s="118" t="s">
        <v>99</v>
      </c>
    </row>
    <row r="120" ht="30" customHeight="1" spans="1:2" x14ac:dyDescent="0.25">
      <c r="A120" s="118" t="s">
        <v>351</v>
      </c>
      <c r="B120" s="118" t="s">
        <v>99</v>
      </c>
    </row>
    <row r="121" ht="60" customHeight="1" spans="1:2" x14ac:dyDescent="0.25">
      <c r="A121" s="118" t="s">
        <v>354</v>
      </c>
      <c r="B121" s="118" t="s">
        <v>123</v>
      </c>
    </row>
    <row r="122" ht="45" customHeight="1" spans="1:2" x14ac:dyDescent="0.25">
      <c r="A122" s="118" t="s">
        <v>356</v>
      </c>
      <c r="B122" s="118" t="s">
        <v>103</v>
      </c>
    </row>
    <row r="123" ht="45" customHeight="1" spans="1:2" x14ac:dyDescent="0.25">
      <c r="A123" s="118" t="s">
        <v>358</v>
      </c>
      <c r="B123" s="118" t="s">
        <v>111</v>
      </c>
    </row>
    <row r="124" ht="45" customHeight="1" spans="1:2" x14ac:dyDescent="0.25">
      <c r="A124" s="118" t="s">
        <v>361</v>
      </c>
      <c r="B124" s="118" t="s">
        <v>103</v>
      </c>
    </row>
    <row r="125" ht="60" customHeight="1" spans="1:2" x14ac:dyDescent="0.25">
      <c r="A125" s="118" t="s">
        <v>363</v>
      </c>
      <c r="B125" s="118" t="s">
        <v>99</v>
      </c>
    </row>
    <row r="126" ht="60" customHeight="1" spans="1:2" x14ac:dyDescent="0.25">
      <c r="A126" s="118" t="s">
        <v>366</v>
      </c>
      <c r="B126" s="118" t="s">
        <v>111</v>
      </c>
    </row>
    <row r="127" ht="30" customHeight="1" spans="1:2" x14ac:dyDescent="0.25">
      <c r="A127" s="118" t="s">
        <v>367</v>
      </c>
      <c r="B127" s="118" t="s">
        <v>99</v>
      </c>
    </row>
    <row r="128" ht="60" customHeight="1" spans="1:2" x14ac:dyDescent="0.25">
      <c r="A128" s="118" t="s">
        <v>370</v>
      </c>
      <c r="B128" s="118" t="s">
        <v>111</v>
      </c>
    </row>
    <row r="129" ht="45" customHeight="1" spans="1:2" x14ac:dyDescent="0.25">
      <c r="A129" s="118" t="s">
        <v>372</v>
      </c>
      <c r="B129" s="118" t="s">
        <v>99</v>
      </c>
    </row>
    <row r="130" ht="75" customHeight="1" spans="1:2" x14ac:dyDescent="0.25">
      <c r="A130" s="118" t="s">
        <v>374</v>
      </c>
      <c r="B130" s="118" t="s">
        <v>99</v>
      </c>
    </row>
    <row r="131" ht="45" customHeight="1" spans="1:2" x14ac:dyDescent="0.25">
      <c r="A131" s="118" t="s">
        <v>376</v>
      </c>
      <c r="B131" s="118" t="s">
        <v>123</v>
      </c>
    </row>
    <row r="132" ht="45" customHeight="1" spans="1:2" x14ac:dyDescent="0.25">
      <c r="A132" s="118" t="s">
        <v>378</v>
      </c>
      <c r="B132" s="118" t="s">
        <v>111</v>
      </c>
    </row>
    <row r="133" ht="75" customHeight="1" spans="1:2" x14ac:dyDescent="0.25">
      <c r="A133" s="118" t="s">
        <v>379</v>
      </c>
      <c r="B133" s="118" t="s">
        <v>111</v>
      </c>
    </row>
    <row r="134" ht="30" customHeight="1" spans="1:2" x14ac:dyDescent="0.25">
      <c r="A134" s="118" t="s">
        <v>381</v>
      </c>
      <c r="B134" s="118" t="s">
        <v>99</v>
      </c>
    </row>
    <row r="135" ht="60" customHeight="1" spans="1:2" x14ac:dyDescent="0.25">
      <c r="A135" s="118" t="s">
        <v>382</v>
      </c>
      <c r="B135" s="118" t="s">
        <v>383</v>
      </c>
    </row>
    <row r="136" ht="60" customHeight="1" spans="1:2" x14ac:dyDescent="0.25">
      <c r="A136" s="118" t="s">
        <v>385</v>
      </c>
      <c r="B136" s="118" t="s">
        <v>103</v>
      </c>
    </row>
    <row r="137" ht="30" customHeight="1" spans="1:2" x14ac:dyDescent="0.25">
      <c r="A137" s="118" t="s">
        <v>386</v>
      </c>
      <c r="B137" s="118" t="s">
        <v>99</v>
      </c>
    </row>
    <row r="138" ht="30" customHeight="1" spans="1:2" x14ac:dyDescent="0.25">
      <c r="A138" s="118" t="s">
        <v>387</v>
      </c>
      <c r="B138" s="118" t="s">
        <v>111</v>
      </c>
    </row>
    <row r="139" ht="75" customHeight="1" spans="1:2" x14ac:dyDescent="0.25">
      <c r="A139" s="118" t="s">
        <v>388</v>
      </c>
      <c r="B139" s="118" t="s">
        <v>359</v>
      </c>
    </row>
    <row r="140" ht="45" customHeight="1" spans="1:2" x14ac:dyDescent="0.25">
      <c r="A140" s="118" t="s">
        <v>389</v>
      </c>
      <c r="B140" s="118" t="s">
        <v>111</v>
      </c>
    </row>
    <row r="141" ht="45" customHeight="1" spans="1:2" x14ac:dyDescent="0.25">
      <c r="A141" s="118" t="s">
        <v>391</v>
      </c>
      <c r="B141" s="118" t="s">
        <v>111</v>
      </c>
    </row>
    <row r="142" ht="30" customHeight="1" spans="1:2" x14ac:dyDescent="0.25">
      <c r="A142" s="118" t="s">
        <v>392</v>
      </c>
      <c r="B142" s="118" t="s">
        <v>99</v>
      </c>
    </row>
    <row r="143" ht="30" customHeight="1" spans="1:2" x14ac:dyDescent="0.25">
      <c r="A143" s="118" t="s">
        <v>394</v>
      </c>
      <c r="B143" s="118" t="s">
        <v>106</v>
      </c>
    </row>
    <row r="144" spans="1:2" x14ac:dyDescent="0.25">
      <c r="A144" s="118" t="s">
        <v>395</v>
      </c>
      <c r="B144" s="118" t="s">
        <v>123</v>
      </c>
    </row>
    <row r="145" ht="60" customHeight="1" spans="1:2" x14ac:dyDescent="0.25">
      <c r="A145" s="118" t="s">
        <v>397</v>
      </c>
      <c r="B145" s="118" t="s">
        <v>123</v>
      </c>
    </row>
    <row r="146" ht="30" customHeight="1" spans="1:2" x14ac:dyDescent="0.25">
      <c r="A146" s="118" t="s">
        <v>398</v>
      </c>
      <c r="B146" s="118" t="s">
        <v>99</v>
      </c>
    </row>
    <row r="147" ht="30" customHeight="1" spans="1:2" x14ac:dyDescent="0.25">
      <c r="A147" s="118" t="s">
        <v>399</v>
      </c>
      <c r="B147" s="118" t="s">
        <v>111</v>
      </c>
    </row>
    <row r="148" ht="30" customHeight="1" spans="1:2" x14ac:dyDescent="0.25">
      <c r="A148" s="118" t="s">
        <v>402</v>
      </c>
      <c r="B148" s="118" t="s">
        <v>111</v>
      </c>
    </row>
    <row r="149" ht="45" customHeight="1" spans="1:2" x14ac:dyDescent="0.25">
      <c r="A149" s="118" t="s">
        <v>404</v>
      </c>
      <c r="B149" s="118" t="s">
        <v>111</v>
      </c>
    </row>
    <row r="150" ht="30" customHeight="1" spans="1:2" x14ac:dyDescent="0.25">
      <c r="A150" s="118" t="s">
        <v>405</v>
      </c>
      <c r="B150" s="118" t="s">
        <v>111</v>
      </c>
    </row>
    <row r="151" ht="75" customHeight="1" spans="1:2" x14ac:dyDescent="0.25">
      <c r="A151" s="118" t="s">
        <v>407</v>
      </c>
      <c r="B151" s="118" t="s">
        <v>146</v>
      </c>
    </row>
    <row r="152" ht="75" customHeight="1" spans="1:2" x14ac:dyDescent="0.25">
      <c r="A152" s="118" t="s">
        <v>409</v>
      </c>
      <c r="B152" s="118" t="s">
        <v>146</v>
      </c>
    </row>
    <row r="153" ht="30" customHeight="1" spans="1:2" x14ac:dyDescent="0.25">
      <c r="A153" s="118" t="s">
        <v>411</v>
      </c>
      <c r="B153" s="118" t="s">
        <v>111</v>
      </c>
    </row>
    <row r="154" ht="30" customHeight="1" spans="1:2" x14ac:dyDescent="0.25">
      <c r="A154" s="118" t="s">
        <v>413</v>
      </c>
      <c r="B154" s="118" t="s">
        <v>111</v>
      </c>
    </row>
    <row r="155" ht="60" customHeight="1" spans="1:2" x14ac:dyDescent="0.25">
      <c r="A155" s="118" t="s">
        <v>414</v>
      </c>
      <c r="B155" s="118" t="s">
        <v>415</v>
      </c>
    </row>
    <row r="156" ht="30" customHeight="1" spans="1:2" x14ac:dyDescent="0.25">
      <c r="A156" s="118" t="s">
        <v>417</v>
      </c>
      <c r="B156" s="118" t="s">
        <v>418</v>
      </c>
    </row>
    <row r="157" ht="45" customHeight="1" spans="1:2" x14ac:dyDescent="0.25">
      <c r="A157" s="118" t="s">
        <v>420</v>
      </c>
      <c r="B157" s="118" t="s">
        <v>99</v>
      </c>
    </row>
    <row r="158" ht="45" customHeight="1" spans="1:2" x14ac:dyDescent="0.25">
      <c r="A158" s="118" t="s">
        <v>422</v>
      </c>
      <c r="B158" s="118" t="s">
        <v>99</v>
      </c>
    </row>
    <row r="159" ht="45" customHeight="1" spans="1:2" x14ac:dyDescent="0.25">
      <c r="A159" s="118" t="s">
        <v>424</v>
      </c>
      <c r="B159" s="118" t="s">
        <v>99</v>
      </c>
    </row>
    <row r="160" ht="45" customHeight="1" spans="1:2" x14ac:dyDescent="0.25">
      <c r="A160" s="118" t="s">
        <v>426</v>
      </c>
      <c r="B160" s="118" t="s">
        <v>99</v>
      </c>
    </row>
    <row r="161" ht="30" customHeight="1" spans="1:2" x14ac:dyDescent="0.25">
      <c r="A161" s="118" t="s">
        <v>428</v>
      </c>
      <c r="B161" s="118" t="s">
        <v>140</v>
      </c>
    </row>
    <row r="162" ht="60" customHeight="1" spans="1:2" x14ac:dyDescent="0.25">
      <c r="A162" s="118" t="s">
        <v>430</v>
      </c>
      <c r="B162" s="118" t="s">
        <v>140</v>
      </c>
    </row>
    <row r="163" ht="75" customHeight="1" spans="1:2" x14ac:dyDescent="0.25">
      <c r="A163" s="118" t="s">
        <v>431</v>
      </c>
      <c r="B163" s="118" t="s">
        <v>99</v>
      </c>
    </row>
    <row r="164" ht="30" customHeight="1" spans="1:2" x14ac:dyDescent="0.25">
      <c r="A164" s="118" t="s">
        <v>433</v>
      </c>
      <c r="B164" s="118" t="s">
        <v>140</v>
      </c>
    </row>
    <row r="165" ht="30" customHeight="1" spans="1:2" x14ac:dyDescent="0.25">
      <c r="A165" s="118" t="s">
        <v>435</v>
      </c>
      <c r="B165" s="118" t="s">
        <v>140</v>
      </c>
    </row>
    <row r="166" ht="45" customHeight="1" spans="1:2" x14ac:dyDescent="0.25">
      <c r="A166" s="118" t="s">
        <v>436</v>
      </c>
      <c r="B166" s="118" t="s">
        <v>140</v>
      </c>
    </row>
    <row r="167" ht="45" customHeight="1" spans="1:2" x14ac:dyDescent="0.25">
      <c r="A167" s="118" t="s">
        <v>437</v>
      </c>
      <c r="B167" s="118" t="s">
        <v>140</v>
      </c>
    </row>
    <row r="168" ht="30" customHeight="1" spans="1:2" x14ac:dyDescent="0.25">
      <c r="A168" s="118" t="s">
        <v>439</v>
      </c>
      <c r="B168" s="118" t="s">
        <v>99</v>
      </c>
    </row>
    <row r="169" ht="45" customHeight="1" spans="1:2" x14ac:dyDescent="0.25">
      <c r="A169" s="118" t="s">
        <v>441</v>
      </c>
      <c r="B169" s="118" t="s">
        <v>99</v>
      </c>
    </row>
    <row r="170" ht="45" customHeight="1" spans="1:2" x14ac:dyDescent="0.25">
      <c r="A170" s="118" t="s">
        <v>442</v>
      </c>
      <c r="B170" s="118" t="s">
        <v>99</v>
      </c>
    </row>
    <row r="171" ht="45" customHeight="1" spans="1:2" x14ac:dyDescent="0.25">
      <c r="A171" s="118" t="s">
        <v>443</v>
      </c>
      <c r="B171" s="118" t="s">
        <v>99</v>
      </c>
    </row>
    <row r="172" ht="30" customHeight="1" spans="1:2" x14ac:dyDescent="0.25">
      <c r="A172" s="118" t="s">
        <v>445</v>
      </c>
      <c r="B172" s="118" t="s">
        <v>140</v>
      </c>
    </row>
    <row r="173" ht="30" customHeight="1" spans="1:2" x14ac:dyDescent="0.25">
      <c r="A173" s="118" t="s">
        <v>446</v>
      </c>
      <c r="B173" s="118" t="s">
        <v>111</v>
      </c>
    </row>
    <row r="174" ht="30" customHeight="1" spans="1:2" x14ac:dyDescent="0.25">
      <c r="A174" s="118" t="s">
        <v>448</v>
      </c>
      <c r="B174" s="118" t="s">
        <v>99</v>
      </c>
    </row>
    <row r="175" ht="30" customHeight="1" spans="1:2" x14ac:dyDescent="0.25">
      <c r="A175" s="118" t="s">
        <v>449</v>
      </c>
      <c r="B175" s="118" t="s">
        <v>99</v>
      </c>
    </row>
    <row r="176" ht="105" customHeight="1" spans="1:2" x14ac:dyDescent="0.25">
      <c r="A176" s="118" t="s">
        <v>450</v>
      </c>
      <c r="B176" s="118" t="s">
        <v>103</v>
      </c>
    </row>
    <row r="177" ht="30" customHeight="1" spans="1:2" x14ac:dyDescent="0.25">
      <c r="A177" s="118" t="s">
        <v>452</v>
      </c>
      <c r="B177" s="118" t="s">
        <v>99</v>
      </c>
    </row>
    <row r="178" ht="30" customHeight="1" spans="1:2" x14ac:dyDescent="0.25">
      <c r="A178" s="118" t="s">
        <v>454</v>
      </c>
      <c r="B178" s="118" t="s">
        <v>99</v>
      </c>
    </row>
    <row r="179" ht="30" customHeight="1" spans="1:2" x14ac:dyDescent="0.25">
      <c r="A179" s="118" t="s">
        <v>456</v>
      </c>
      <c r="B179" s="118" t="s">
        <v>99</v>
      </c>
    </row>
    <row r="180" ht="30" customHeight="1" spans="1:2" x14ac:dyDescent="0.25">
      <c r="A180" s="118" t="s">
        <v>457</v>
      </c>
      <c r="B180" s="118" t="s">
        <v>103</v>
      </c>
    </row>
    <row r="181" ht="30" customHeight="1" spans="1:2" x14ac:dyDescent="0.25">
      <c r="A181" s="118" t="s">
        <v>460</v>
      </c>
      <c r="B181" s="118" t="s">
        <v>99</v>
      </c>
    </row>
    <row r="182" ht="30" customHeight="1" spans="1:2" x14ac:dyDescent="0.25">
      <c r="A182" s="118" t="s">
        <v>462</v>
      </c>
      <c r="B182" s="118" t="s">
        <v>99</v>
      </c>
    </row>
    <row r="183" ht="30" customHeight="1" spans="1:2" x14ac:dyDescent="0.25">
      <c r="A183" s="118" t="s">
        <v>464</v>
      </c>
      <c r="B183" s="118" t="s">
        <v>99</v>
      </c>
    </row>
    <row r="184" ht="30" customHeight="1" spans="1:2" x14ac:dyDescent="0.25">
      <c r="A184" s="118" t="s">
        <v>466</v>
      </c>
      <c r="B184" s="118" t="s">
        <v>123</v>
      </c>
    </row>
    <row r="185" ht="30" customHeight="1" spans="1:2" x14ac:dyDescent="0.25">
      <c r="A185" s="118" t="s">
        <v>467</v>
      </c>
      <c r="B185" s="118" t="s">
        <v>99</v>
      </c>
    </row>
    <row r="186" spans="1:2" x14ac:dyDescent="0.25">
      <c r="A186" s="118" t="s">
        <v>468</v>
      </c>
      <c r="B186" s="118" t="s">
        <v>140</v>
      </c>
    </row>
    <row r="187" ht="30" customHeight="1" spans="1:2" x14ac:dyDescent="0.25">
      <c r="A187" s="118" t="s">
        <v>470</v>
      </c>
      <c r="B187" s="118" t="s">
        <v>123</v>
      </c>
    </row>
    <row r="188" ht="30" customHeight="1" spans="1:2" x14ac:dyDescent="0.25">
      <c r="A188" s="118" t="s">
        <v>471</v>
      </c>
      <c r="B188" s="118" t="s">
        <v>99</v>
      </c>
    </row>
    <row r="189" ht="30" customHeight="1" spans="1:2" x14ac:dyDescent="0.25">
      <c r="A189" s="118" t="s">
        <v>472</v>
      </c>
      <c r="B189" s="118" t="s">
        <v>111</v>
      </c>
    </row>
    <row r="190" ht="45" customHeight="1" spans="1:2" x14ac:dyDescent="0.25">
      <c r="A190" s="118" t="s">
        <v>473</v>
      </c>
      <c r="B190" s="118" t="s">
        <v>111</v>
      </c>
    </row>
    <row r="191" ht="45" customHeight="1" spans="1:2" x14ac:dyDescent="0.25">
      <c r="A191" s="118" t="s">
        <v>475</v>
      </c>
      <c r="B191" s="118" t="s">
        <v>99</v>
      </c>
    </row>
    <row r="192" ht="30" customHeight="1" spans="1:2" x14ac:dyDescent="0.25">
      <c r="A192" s="118" t="s">
        <v>477</v>
      </c>
      <c r="B192" s="118" t="s">
        <v>103</v>
      </c>
    </row>
    <row r="193" ht="45" customHeight="1" spans="1:2" x14ac:dyDescent="0.25">
      <c r="A193" s="118" t="s">
        <v>479</v>
      </c>
      <c r="B193" s="118" t="s">
        <v>111</v>
      </c>
    </row>
    <row r="194" ht="45" customHeight="1" spans="1:2" x14ac:dyDescent="0.25">
      <c r="A194" s="118" t="s">
        <v>482</v>
      </c>
      <c r="B194" s="118" t="s">
        <v>103</v>
      </c>
    </row>
    <row r="195" ht="60" customHeight="1" spans="1:2" x14ac:dyDescent="0.25">
      <c r="A195" s="118" t="s">
        <v>485</v>
      </c>
      <c r="B195" s="118" t="s">
        <v>111</v>
      </c>
    </row>
    <row r="196" ht="30" customHeight="1" spans="1:2" x14ac:dyDescent="0.25">
      <c r="A196" s="118" t="s">
        <v>487</v>
      </c>
      <c r="B196" s="118" t="s">
        <v>111</v>
      </c>
    </row>
    <row r="197" ht="30" customHeight="1" spans="1:2" x14ac:dyDescent="0.25">
      <c r="A197" s="118" t="s">
        <v>489</v>
      </c>
      <c r="B197" s="118" t="s">
        <v>111</v>
      </c>
    </row>
    <row r="198" ht="45" customHeight="1" spans="1:2" x14ac:dyDescent="0.25">
      <c r="A198" s="118" t="s">
        <v>491</v>
      </c>
      <c r="B198" s="118" t="s">
        <v>111</v>
      </c>
    </row>
    <row r="199" ht="45" customHeight="1" spans="1:2" x14ac:dyDescent="0.25">
      <c r="A199" s="118" t="s">
        <v>493</v>
      </c>
      <c r="B199" s="118" t="s">
        <v>99</v>
      </c>
    </row>
    <row r="200" ht="30" customHeight="1" spans="1:2" x14ac:dyDescent="0.25">
      <c r="A200" s="118" t="s">
        <v>495</v>
      </c>
      <c r="B200" s="118" t="s">
        <v>140</v>
      </c>
    </row>
    <row r="201" spans="1:2" x14ac:dyDescent="0.25">
      <c r="A201" s="118" t="s">
        <v>498</v>
      </c>
      <c r="B201" s="118" t="s">
        <v>140</v>
      </c>
    </row>
    <row r="202" ht="60" customHeight="1" spans="1:2" x14ac:dyDescent="0.25">
      <c r="A202" s="118" t="s">
        <v>500</v>
      </c>
      <c r="B202" s="118" t="s">
        <v>140</v>
      </c>
    </row>
    <row r="203" ht="30" customHeight="1" spans="1:2" x14ac:dyDescent="0.25">
      <c r="A203" s="118" t="s">
        <v>502</v>
      </c>
      <c r="B203" s="118" t="s">
        <v>99</v>
      </c>
    </row>
    <row r="204" ht="45" customHeight="1" spans="1:2" x14ac:dyDescent="0.25">
      <c r="A204" s="118" t="s">
        <v>503</v>
      </c>
      <c r="B204" s="118" t="s">
        <v>103</v>
      </c>
    </row>
    <row r="205" ht="45" customHeight="1" spans="1:2" x14ac:dyDescent="0.25">
      <c r="A205" s="118" t="s">
        <v>505</v>
      </c>
      <c r="B205" s="118" t="s">
        <v>99</v>
      </c>
    </row>
    <row r="206" ht="45" customHeight="1" spans="1:2" x14ac:dyDescent="0.25">
      <c r="A206" s="118" t="s">
        <v>507</v>
      </c>
      <c r="B206" s="118" t="s">
        <v>99</v>
      </c>
    </row>
    <row r="207" ht="120" customHeight="1" spans="1:2" x14ac:dyDescent="0.25">
      <c r="A207" s="118" t="s">
        <v>509</v>
      </c>
      <c r="B207" s="118" t="s">
        <v>99</v>
      </c>
    </row>
    <row r="208" ht="75" customHeight="1" spans="1:2" x14ac:dyDescent="0.25">
      <c r="A208" s="118" t="s">
        <v>511</v>
      </c>
      <c r="B208" s="118" t="s">
        <v>99</v>
      </c>
    </row>
    <row r="209" ht="45" customHeight="1" spans="1:2" x14ac:dyDescent="0.25">
      <c r="A209" s="118" t="s">
        <v>512</v>
      </c>
      <c r="B209" s="118" t="s">
        <v>99</v>
      </c>
    </row>
    <row r="210" ht="30" customHeight="1" spans="1:2" x14ac:dyDescent="0.25">
      <c r="A210" s="118" t="s">
        <v>513</v>
      </c>
      <c r="B210" s="118" t="s">
        <v>99</v>
      </c>
    </row>
    <row r="211" ht="45" customHeight="1" spans="1:2" x14ac:dyDescent="0.25">
      <c r="A211" s="118" t="s">
        <v>514</v>
      </c>
      <c r="B211" s="118" t="s">
        <v>106</v>
      </c>
    </row>
    <row r="212" ht="30" customHeight="1" spans="1:2" x14ac:dyDescent="0.25">
      <c r="A212" s="118" t="s">
        <v>517</v>
      </c>
      <c r="B212" s="118" t="s">
        <v>99</v>
      </c>
    </row>
    <row r="213" ht="45" customHeight="1" spans="1:2" x14ac:dyDescent="0.25">
      <c r="A213" s="118" t="s">
        <v>519</v>
      </c>
      <c r="B213" s="118" t="s">
        <v>99</v>
      </c>
    </row>
    <row r="214" ht="60" customHeight="1" spans="1:2" x14ac:dyDescent="0.25">
      <c r="A214" s="118" t="s">
        <v>521</v>
      </c>
      <c r="B214" s="118" t="s">
        <v>99</v>
      </c>
    </row>
    <row r="215" ht="60" customHeight="1" spans="1:2" x14ac:dyDescent="0.25">
      <c r="A215" s="118" t="s">
        <v>523</v>
      </c>
      <c r="B215" s="118" t="s">
        <v>111</v>
      </c>
    </row>
    <row r="216" ht="60" customHeight="1" spans="1:2" x14ac:dyDescent="0.25">
      <c r="A216" s="118" t="s">
        <v>525</v>
      </c>
      <c r="B216" s="118" t="s">
        <v>103</v>
      </c>
    </row>
    <row r="217" ht="45" customHeight="1" spans="1:2" x14ac:dyDescent="0.25">
      <c r="A217" s="118" t="s">
        <v>526</v>
      </c>
      <c r="B217" s="118" t="s">
        <v>106</v>
      </c>
    </row>
    <row r="218" ht="45" customHeight="1" spans="1:2" x14ac:dyDescent="0.25">
      <c r="A218" s="118" t="s">
        <v>528</v>
      </c>
      <c r="B218" s="118" t="s">
        <v>103</v>
      </c>
    </row>
    <row r="219" ht="30" customHeight="1" spans="1:2" x14ac:dyDescent="0.25">
      <c r="A219" s="118" t="s">
        <v>529</v>
      </c>
      <c r="B219" s="118" t="s">
        <v>111</v>
      </c>
    </row>
    <row r="220" ht="30" customHeight="1" spans="1:2" x14ac:dyDescent="0.25">
      <c r="A220" s="118" t="s">
        <v>532</v>
      </c>
      <c r="B220" s="118" t="s">
        <v>103</v>
      </c>
    </row>
    <row r="221" ht="30" customHeight="1" spans="1:2" x14ac:dyDescent="0.25">
      <c r="A221" s="118" t="s">
        <v>533</v>
      </c>
      <c r="B221" s="118" t="s">
        <v>103</v>
      </c>
    </row>
    <row r="222" ht="105" customHeight="1" spans="1:2" x14ac:dyDescent="0.25">
      <c r="A222" s="118" t="s">
        <v>535</v>
      </c>
      <c r="B222" s="118" t="s">
        <v>123</v>
      </c>
    </row>
    <row r="223" ht="30" customHeight="1" spans="1:2" x14ac:dyDescent="0.25">
      <c r="A223" s="118" t="s">
        <v>537</v>
      </c>
      <c r="B223" s="118" t="s">
        <v>111</v>
      </c>
    </row>
    <row r="224" ht="135" customHeight="1" spans="1:2" x14ac:dyDescent="0.25">
      <c r="A224" s="118" t="s">
        <v>538</v>
      </c>
      <c r="B224" s="118" t="s">
        <v>111</v>
      </c>
    </row>
    <row r="225" spans="1:2" x14ac:dyDescent="0.25">
      <c r="A225" s="118" t="s">
        <v>540</v>
      </c>
      <c r="B225" s="118" t="s">
        <v>123</v>
      </c>
    </row>
    <row r="226" spans="1:2" x14ac:dyDescent="0.25">
      <c r="A226" s="118" t="s">
        <v>542</v>
      </c>
      <c r="B226" s="118" t="s">
        <v>99</v>
      </c>
    </row>
    <row r="227" ht="75" customHeight="1" spans="1:2" x14ac:dyDescent="0.25">
      <c r="A227" s="118" t="s">
        <v>544</v>
      </c>
      <c r="B227" s="118" t="s">
        <v>99</v>
      </c>
    </row>
    <row r="228" ht="45" customHeight="1" spans="1:2" x14ac:dyDescent="0.25">
      <c r="A228" s="118" t="s">
        <v>547</v>
      </c>
      <c r="B228" s="118" t="s">
        <v>548</v>
      </c>
    </row>
    <row r="229" ht="30" customHeight="1" spans="1:2" x14ac:dyDescent="0.25">
      <c r="A229" s="118" t="s">
        <v>549</v>
      </c>
      <c r="B229" s="118" t="s">
        <v>111</v>
      </c>
    </row>
    <row r="230" ht="30" customHeight="1" spans="1:2" x14ac:dyDescent="0.25">
      <c r="A230" s="118" t="s">
        <v>551</v>
      </c>
      <c r="B230" s="118" t="s">
        <v>103</v>
      </c>
    </row>
    <row r="231" ht="75" customHeight="1" spans="1:2" x14ac:dyDescent="0.25">
      <c r="A231" s="118" t="s">
        <v>553</v>
      </c>
      <c r="B231" s="118" t="s">
        <v>99</v>
      </c>
    </row>
    <row r="232" ht="45" customHeight="1" spans="1:2" x14ac:dyDescent="0.25">
      <c r="A232" s="118" t="s">
        <v>556</v>
      </c>
      <c r="B232" s="118" t="s">
        <v>103</v>
      </c>
    </row>
    <row r="233" ht="45" customHeight="1" spans="1:2" x14ac:dyDescent="0.25">
      <c r="A233" s="118" t="s">
        <v>557</v>
      </c>
      <c r="B233" s="118" t="s">
        <v>99</v>
      </c>
    </row>
    <row r="234" ht="30" customHeight="1" spans="1:2" x14ac:dyDescent="0.25">
      <c r="A234" s="118" t="s">
        <v>558</v>
      </c>
      <c r="B234" s="118" t="s">
        <v>111</v>
      </c>
    </row>
    <row r="235" ht="30" customHeight="1" spans="1:2" x14ac:dyDescent="0.25">
      <c r="A235" s="118" t="s">
        <v>559</v>
      </c>
      <c r="B235" s="118" t="s">
        <v>111</v>
      </c>
    </row>
    <row r="236" ht="75" customHeight="1" spans="1:2" x14ac:dyDescent="0.25">
      <c r="A236" s="118" t="s">
        <v>560</v>
      </c>
      <c r="B236" s="118" t="s">
        <v>146</v>
      </c>
    </row>
    <row r="237" ht="60" customHeight="1" spans="1:2" x14ac:dyDescent="0.25">
      <c r="A237" s="118" t="s">
        <v>562</v>
      </c>
      <c r="B237" s="118" t="s">
        <v>146</v>
      </c>
    </row>
    <row r="238" ht="30" customHeight="1" spans="1:2" x14ac:dyDescent="0.25">
      <c r="A238" s="118" t="s">
        <v>563</v>
      </c>
      <c r="B238" s="118" t="s">
        <v>146</v>
      </c>
    </row>
  </sheetData>
  <pageMargins left="0.511811024" right="0.511811024" top="0.787401575" bottom="0.787401575" header="0.31496062" footer="0.31496062"/>
  <pageSetup paperSize="9" orientation="portrait" horizontalDpi="4294967295" verticalDpi="4294967295" scale="100" fitToWidth="1" fitToHeight="1" firstPageNumber="1" useFirstPageNumber="1" copies="1"/>
  <headerFooter>
    <oddFooter>&amp;C&amp;1#&amp;"Calibri"&amp;12&amp;K008000Internal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Orientações</vt:lpstr>
      <vt:lpstr>Pedido de Arquivamento</vt:lpstr>
      <vt:lpstr>Tabela de Temporalidade</vt:lpstr>
      <vt:lpstr>Base1</vt:lpstr>
      <vt:lpstr>Base2</vt:lpstr>
    </vt:vector>
  </TitlesOfParts>
  <Company>IBERDROLA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AUGUSTO BEZERRA FERNANDES</dc:creator>
  <cp:lastModifiedBy>ALMEIDA VIANA, JOAO GUILHERME</cp:lastModifiedBy>
  <cp:lastPrinted>2024-07-29T20:29:35Z</cp:lastPrinted>
  <dcterms:created xsi:type="dcterms:W3CDTF">2022-06-22T18:32:48Z</dcterms:created>
  <dcterms:modified xsi:type="dcterms:W3CDTF">2026-02-11T13:06:34Z</dcterms:modified>
</cp:coreProperties>
</file>